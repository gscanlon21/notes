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30B360D3-EF93-4402-85AB-5AEDEEFC07B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Data Validation" sheetId="30" r:id="rId1"/>
    <sheet name="Conversions" sheetId="26" r:id="rId2"/>
    <sheet name="Procedures" sheetId="14" r:id="rId3"/>
    <sheet name="Containers" sheetId="7" r:id="rId4"/>
    <sheet name="Fertilizers" sheetId="16" r:id="rId5"/>
    <sheet name="Solutions" sheetId="37" r:id="rId6"/>
    <sheet name="Nutrients" sheetId="20" r:id="rId7"/>
    <sheet name="Recipes" sheetId="25" r:id="rId8"/>
    <sheet name="Water" sheetId="27" r:id="rId9"/>
    <sheet name="Seeds" sheetId="4" r:id="rId10"/>
    <sheet name="2026-10-02_Jars" sheetId="19" state="hidden" r:id="rId11"/>
    <sheet name="2026-10-03_Jars" sheetId="22" state="hidden" r:id="rId12"/>
    <sheet name="2026-10-05_Jars" sheetId="32" state="hidden" r:id="rId13"/>
    <sheet name="Jars" sheetId="6" r:id="rId14"/>
    <sheet name="2026-09-26_Seeding and Growing" sheetId="12" state="hidden" r:id="rId15"/>
    <sheet name="2026-09-26_Harvest and Storage" sheetId="11" state="hidden" r:id="rId16"/>
    <sheet name="2026-10-03_Jars++" sheetId="23" state="hidden" r:id="rId17"/>
    <sheet name="2026-10-05_Jars++" sheetId="33" state="hidden" r:id="rId18"/>
    <sheet name="Jars++" sheetId="18" r:id="rId19"/>
    <sheet name="Cups" sheetId="15" r:id="rId20"/>
    <sheet name="Growing" sheetId="2" r:id="rId21"/>
    <sheet name="Growing++" sheetId="36" r:id="rId22"/>
    <sheet name="Harvest" sheetId="3" r:id="rId23"/>
    <sheet name="Storage" sheetId="13" r:id="rId24"/>
    <sheet name="Temperature" sheetId="1" r:id="rId25"/>
    <sheet name="Concentrations" sheetId="39" r:id="rId26"/>
    <sheet name="vs Root Growth" sheetId="8" r:id="rId27"/>
    <sheet name="vs Lifespan" sheetId="10" r:id="rId28"/>
    <sheet name="Charts" sheetId="9" r:id="rId29"/>
  </sheets>
  <definedNames>
    <definedName name="Fertilizers\Fertilizer" localSheetId="25">Fertilizers[Fertilizer]</definedName>
    <definedName name="Fertilizers\Fertilizer">Fertilizers[Fertilizer]</definedName>
    <definedName name="Jars\Jar">Jars[Jar]</definedName>
    <definedName name="List\Elements" localSheetId="25">List[Elements]</definedName>
    <definedName name="List\Fertilizers">List[Fertilizers]</definedName>
    <definedName name="List\Nutrients">List[Nutrients]</definedName>
    <definedName name="List\Root_Color">List[Root Color]</definedName>
    <definedName name="List\Root_Texture">List[Root Texture]</definedName>
    <definedName name="List\Solutions">List[Solutions]</definedName>
    <definedName name="Nutrients\For" localSheetId="25">Nutrients[For]</definedName>
    <definedName name="Nutrients\For">Nutrients[For]</definedName>
    <definedName name="Seeds\Scientific_Name" localSheetId="25">Seeds[Scientific Name]</definedName>
    <definedName name="Seeds\Scientific_Name">Seeds[Scientific Name]</definedName>
    <definedName name="Solutions\Name" localSheetId="25">Solutions[Name]</definedName>
    <definedName name="Solutions\Name">Solutions[Name]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6" l="1"/>
  <c r="H21" i="16"/>
  <c r="H22" i="16"/>
  <c r="H23" i="16"/>
  <c r="H24" i="16"/>
  <c r="K11" i="16"/>
  <c r="K12" i="16"/>
  <c r="K13" i="16"/>
  <c r="K14" i="16"/>
  <c r="K17" i="16"/>
  <c r="K20" i="16"/>
  <c r="K21" i="16"/>
  <c r="K22" i="16"/>
  <c r="K23" i="16"/>
  <c r="K24" i="16"/>
  <c r="J11" i="16"/>
  <c r="J12" i="16"/>
  <c r="J13" i="16"/>
  <c r="J14" i="16"/>
  <c r="J17" i="16"/>
  <c r="J20" i="16"/>
  <c r="J21" i="16"/>
  <c r="J22" i="16"/>
  <c r="J23" i="16"/>
  <c r="J24" i="16"/>
  <c r="G20" i="16"/>
  <c r="G21" i="16"/>
  <c r="G22" i="16"/>
  <c r="G23" i="16"/>
  <c r="G24" i="16"/>
  <c r="I20" i="16"/>
  <c r="I21" i="16"/>
  <c r="I22" i="16"/>
  <c r="I23" i="16"/>
  <c r="I24" i="16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B32" i="25"/>
  <c r="F32" i="25"/>
  <c r="G32" i="25"/>
  <c r="H32" i="25"/>
  <c r="I32" i="25"/>
  <c r="J32" i="25"/>
  <c r="K32" i="25"/>
  <c r="L32" i="25"/>
  <c r="M32" i="25"/>
  <c r="N32" i="25"/>
  <c r="O32" i="25"/>
  <c r="P32" i="25"/>
  <c r="Q32" i="25"/>
  <c r="T32" i="25"/>
  <c r="S32" i="25"/>
  <c r="R32" i="25"/>
  <c r="U32" i="25"/>
  <c r="V32" i="25"/>
  <c r="W32" i="25"/>
  <c r="X32" i="25"/>
  <c r="Y32" i="25"/>
  <c r="T33" i="25"/>
  <c r="U33" i="25"/>
  <c r="V33" i="25"/>
  <c r="W33" i="25"/>
  <c r="X33" i="25"/>
  <c r="E20" i="25" a="1"/>
  <c r="E20" i="25"/>
  <c r="A29" i="25" s="1" a="1"/>
  <c r="A29" i="25" s="1"/>
  <c r="A38" i="26"/>
  <c r="K38" i="26" s="1"/>
  <c r="A37" i="26"/>
  <c r="K37" i="26" s="1"/>
  <c r="A32" i="26"/>
  <c r="K32" i="26" s="1"/>
  <c r="A36" i="26"/>
  <c r="K36" i="26" s="1"/>
  <c r="A35" i="26"/>
  <c r="K35" i="26" s="1"/>
  <c r="A34" i="26"/>
  <c r="K34" i="26" s="1"/>
  <c r="A33" i="26"/>
  <c r="K33" i="26" s="1"/>
  <c r="L11" i="6" a="1"/>
  <c r="L11" i="6"/>
  <c r="L12" i="6" a="1"/>
  <c r="L12" i="6"/>
  <c r="L13" i="6" a="1"/>
  <c r="L13" i="6"/>
  <c r="L14" i="6" a="1"/>
  <c r="L14" i="6"/>
  <c r="L15" i="6" a="1"/>
  <c r="L15" i="6"/>
  <c r="L16" i="6" a="1"/>
  <c r="L16" i="6"/>
  <c r="L17" i="6" a="1"/>
  <c r="L17" i="6"/>
  <c r="L18" i="6" a="1"/>
  <c r="L18" i="6"/>
  <c r="L19" i="6" a="1"/>
  <c r="L19" i="6"/>
  <c r="L20" i="6" a="1"/>
  <c r="L20" i="6"/>
  <c r="L21" i="6" a="1"/>
  <c r="L21" i="6"/>
  <c r="L22" i="6" a="1"/>
  <c r="L22" i="6"/>
  <c r="L23" i="6" a="1"/>
  <c r="L23" i="6"/>
  <c r="L24" i="6" a="1"/>
  <c r="L24" i="6"/>
  <c r="L25" i="6" a="1"/>
  <c r="L25" i="6"/>
  <c r="L26" i="6" a="1"/>
  <c r="L26" i="6"/>
  <c r="L27" i="6" a="1"/>
  <c r="L27" i="6"/>
  <c r="L28" i="6" a="1"/>
  <c r="L28" i="6"/>
  <c r="L29" i="6" a="1"/>
  <c r="L29" i="6"/>
  <c r="L30" i="6" a="1"/>
  <c r="L30" i="6"/>
  <c r="L31" i="6" a="1"/>
  <c r="L31" i="6"/>
  <c r="L32" i="6" a="1"/>
  <c r="L32" i="6"/>
  <c r="L33" i="6" a="1"/>
  <c r="L33" i="6"/>
  <c r="L34" i="6" a="1"/>
  <c r="L34" i="6"/>
  <c r="L35" i="6" a="1"/>
  <c r="L35" i="6"/>
  <c r="L36" i="6" a="1"/>
  <c r="L36" i="6"/>
  <c r="L37" i="6" a="1"/>
  <c r="L37" i="6"/>
  <c r="L38" i="6" a="1"/>
  <c r="L38" i="6"/>
  <c r="L39" i="6" a="1"/>
  <c r="L39" i="6"/>
  <c r="L40" i="6" a="1"/>
  <c r="L40" i="6"/>
  <c r="L41" i="6" a="1"/>
  <c r="L41" i="6"/>
  <c r="L42" i="6" a="1"/>
  <c r="L42" i="6"/>
  <c r="L43" i="6" a="1"/>
  <c r="L43" i="6"/>
  <c r="L44" i="6" a="1"/>
  <c r="L44" i="6"/>
  <c r="L45" i="6" a="1"/>
  <c r="L45" i="6"/>
  <c r="L46" i="6" a="1"/>
  <c r="L46" i="6"/>
  <c r="L47" i="6" a="1"/>
  <c r="L47" i="6"/>
  <c r="L48" i="6" a="1"/>
  <c r="L48" i="6"/>
  <c r="L49" i="6" a="1"/>
  <c r="L49" i="6"/>
  <c r="L50" i="6" a="1"/>
  <c r="L50" i="6"/>
  <c r="L51" i="6" a="1"/>
  <c r="L51" i="6"/>
  <c r="L52" i="6" a="1"/>
  <c r="L52" i="6"/>
  <c r="L53" i="6" a="1"/>
  <c r="L53" i="6"/>
  <c r="L54" i="6" a="1"/>
  <c r="L54" i="6"/>
  <c r="L55" i="6" a="1"/>
  <c r="L55" i="6"/>
  <c r="L56" i="6" a="1"/>
  <c r="L56" i="6"/>
  <c r="L57" i="6" a="1"/>
  <c r="L57" i="6"/>
  <c r="L58" i="6" a="1"/>
  <c r="L58" i="6"/>
  <c r="L59" i="6" a="1"/>
  <c r="L59" i="6"/>
  <c r="L60" i="6" a="1"/>
  <c r="L60" i="6"/>
  <c r="K11" i="6" a="1"/>
  <c r="K11" i="6"/>
  <c r="K12" i="6" a="1"/>
  <c r="K12" i="6"/>
  <c r="K13" i="6" a="1"/>
  <c r="K13" i="6"/>
  <c r="K14" i="6" a="1"/>
  <c r="K14" i="6"/>
  <c r="K15" i="6" a="1"/>
  <c r="K15" i="6"/>
  <c r="K16" i="6" a="1"/>
  <c r="K16" i="6"/>
  <c r="K17" i="6" a="1"/>
  <c r="K17" i="6"/>
  <c r="K18" i="6" a="1"/>
  <c r="K18" i="6"/>
  <c r="K19" i="6" a="1"/>
  <c r="K19" i="6"/>
  <c r="K20" i="6" a="1"/>
  <c r="K20" i="6"/>
  <c r="K21" i="6" a="1"/>
  <c r="K21" i="6"/>
  <c r="K22" i="6" a="1"/>
  <c r="K22" i="6"/>
  <c r="K23" i="6" a="1"/>
  <c r="K23" i="6"/>
  <c r="K24" i="6" a="1"/>
  <c r="K24" i="6"/>
  <c r="K25" i="6" a="1"/>
  <c r="K25" i="6"/>
  <c r="K26" i="6" a="1"/>
  <c r="K26" i="6"/>
  <c r="K27" i="6" a="1"/>
  <c r="K27" i="6"/>
  <c r="K28" i="6" a="1"/>
  <c r="K28" i="6"/>
  <c r="K29" i="6" a="1"/>
  <c r="K29" i="6"/>
  <c r="K30" i="6" a="1"/>
  <c r="K30" i="6"/>
  <c r="K31" i="6" a="1"/>
  <c r="K31" i="6"/>
  <c r="K32" i="6" a="1"/>
  <c r="K32" i="6"/>
  <c r="K33" i="6" a="1"/>
  <c r="K33" i="6"/>
  <c r="K34" i="6" a="1"/>
  <c r="K34" i="6"/>
  <c r="K35" i="6" a="1"/>
  <c r="K35" i="6"/>
  <c r="K36" i="6" a="1"/>
  <c r="K36" i="6"/>
  <c r="K37" i="6" a="1"/>
  <c r="K37" i="6"/>
  <c r="K38" i="6" a="1"/>
  <c r="K38" i="6"/>
  <c r="K39" i="6" a="1"/>
  <c r="K39" i="6"/>
  <c r="K40" i="6" a="1"/>
  <c r="K40" i="6"/>
  <c r="K41" i="6" a="1"/>
  <c r="K41" i="6"/>
  <c r="K42" i="6" a="1"/>
  <c r="K42" i="6"/>
  <c r="K43" i="6" a="1"/>
  <c r="K43" i="6"/>
  <c r="K44" i="6" a="1"/>
  <c r="K44" i="6"/>
  <c r="K45" i="6" a="1"/>
  <c r="K45" i="6"/>
  <c r="K46" i="6" a="1"/>
  <c r="K46" i="6"/>
  <c r="K47" i="6" a="1"/>
  <c r="K47" i="6"/>
  <c r="K48" i="6" a="1"/>
  <c r="K48" i="6"/>
  <c r="K49" i="6" a="1"/>
  <c r="K49" i="6"/>
  <c r="K50" i="6" a="1"/>
  <c r="K50" i="6"/>
  <c r="K51" i="6" a="1"/>
  <c r="K51" i="6"/>
  <c r="K52" i="6" a="1"/>
  <c r="K52" i="6"/>
  <c r="K53" i="6" a="1"/>
  <c r="K53" i="6"/>
  <c r="K54" i="6" a="1"/>
  <c r="K54" i="6"/>
  <c r="K55" i="6" a="1"/>
  <c r="K55" i="6"/>
  <c r="K56" i="6" a="1"/>
  <c r="K56" i="6"/>
  <c r="K57" i="6" a="1"/>
  <c r="K57" i="6"/>
  <c r="K58" i="6" a="1"/>
  <c r="K58" i="6"/>
  <c r="K59" i="6" a="1"/>
  <c r="K59" i="6"/>
  <c r="K60" i="6" a="1"/>
  <c r="K60" i="6"/>
  <c r="C11" i="39" a="1"/>
  <c r="C11" i="39"/>
  <c r="X30" i="39" a="1"/>
  <c r="X30" i="39" s="1"/>
  <c r="W30" i="39" a="1"/>
  <c r="W30" i="39" s="1"/>
  <c r="V30" i="39" a="1"/>
  <c r="V30" i="39" s="1"/>
  <c r="U30" i="39" a="1"/>
  <c r="U30" i="39" s="1"/>
  <c r="T30" i="39" a="1"/>
  <c r="T30" i="39" s="1"/>
  <c r="S30" i="39" a="1"/>
  <c r="S30" i="39" s="1"/>
  <c r="R30" i="39" a="1"/>
  <c r="R30" i="39" s="1"/>
  <c r="Q30" i="39" a="1"/>
  <c r="Q30" i="39" s="1"/>
  <c r="P30" i="39" a="1"/>
  <c r="P30" i="39" s="1"/>
  <c r="O30" i="39" a="1"/>
  <c r="O30" i="39" s="1"/>
  <c r="N30" i="39" a="1"/>
  <c r="N30" i="39" s="1"/>
  <c r="M30" i="39" a="1"/>
  <c r="M30" i="39" s="1"/>
  <c r="L30" i="39" a="1"/>
  <c r="L30" i="39" s="1"/>
  <c r="K30" i="39" a="1"/>
  <c r="K30" i="39" s="1"/>
  <c r="I30" i="39" a="1"/>
  <c r="I30" i="39" s="1"/>
  <c r="H30" i="39" a="1"/>
  <c r="H30" i="39" s="1"/>
  <c r="G30" i="39" a="1"/>
  <c r="G30" i="39" s="1"/>
  <c r="F30" i="39" a="1"/>
  <c r="F30" i="39" s="1"/>
  <c r="E30" i="39" a="1"/>
  <c r="E30" i="39" s="1"/>
  <c r="D30" i="39" a="1"/>
  <c r="D30" i="39" s="1"/>
  <c r="C30" i="39" a="1"/>
  <c r="C30" i="39" s="1"/>
  <c r="B30" i="39" a="1"/>
  <c r="B30" i="39" s="1"/>
  <c r="D11" i="39"/>
  <c r="I11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H11" i="20"/>
  <c r="E11" i="25" s="1"/>
  <c r="G11" i="20"/>
  <c r="D11" i="25" s="1"/>
  <c r="F11" i="20"/>
  <c r="G11" i="25" s="1"/>
  <c r="E11" i="20"/>
  <c r="F11" i="25" s="1"/>
  <c r="Y11" i="2" a="1"/>
  <c r="Y11" i="2"/>
  <c r="Y12" i="2" a="1"/>
  <c r="Y12" i="2"/>
  <c r="Y13" i="2" a="1"/>
  <c r="Y13" i="2"/>
  <c r="Y14" i="2" a="1"/>
  <c r="Y14" i="2"/>
  <c r="Y15" i="2" a="1"/>
  <c r="Y15" i="2"/>
  <c r="Y16" i="2" a="1"/>
  <c r="Y16" i="2"/>
  <c r="Y17" i="2" a="1"/>
  <c r="Y17" i="2"/>
  <c r="Y18" i="2" a="1"/>
  <c r="Y18" i="2"/>
  <c r="Y19" i="2" a="1"/>
  <c r="Y19" i="2"/>
  <c r="Y20" i="2" a="1"/>
  <c r="Y20" i="2"/>
  <c r="Y21" i="2" a="1"/>
  <c r="Y21" i="2"/>
  <c r="Y22" i="2" a="1"/>
  <c r="Y22" i="2"/>
  <c r="Y23" i="2" a="1"/>
  <c r="Y23" i="2"/>
  <c r="Y24" i="2" a="1"/>
  <c r="Y24" i="2"/>
  <c r="Y25" i="2" a="1"/>
  <c r="Y25" i="2"/>
  <c r="Y26" i="2" a="1"/>
  <c r="Y26" i="2"/>
  <c r="Y27" i="2" a="1"/>
  <c r="Y27" i="2"/>
  <c r="Y28" i="2" a="1"/>
  <c r="Y28" i="2"/>
  <c r="Y29" i="2" a="1"/>
  <c r="Y29" i="2"/>
  <c r="Y30" i="2" a="1"/>
  <c r="Y30" i="2"/>
  <c r="Y31" i="2" a="1"/>
  <c r="Y31" i="2"/>
  <c r="Y32" i="2" a="1"/>
  <c r="Y32" i="2"/>
  <c r="Y33" i="2" a="1"/>
  <c r="Y33" i="2"/>
  <c r="Y34" i="2" a="1"/>
  <c r="Y34" i="2"/>
  <c r="Y35" i="2" a="1"/>
  <c r="Y35" i="2"/>
  <c r="Y36" i="2" a="1"/>
  <c r="Y36" i="2"/>
  <c r="Y37" i="2" a="1"/>
  <c r="Y37" i="2"/>
  <c r="Y38" i="2" a="1"/>
  <c r="Y38" i="2"/>
  <c r="Y39" i="2" a="1"/>
  <c r="Y39" i="2"/>
  <c r="Y40" i="2" a="1"/>
  <c r="Y40" i="2"/>
  <c r="Y41" i="2" a="1"/>
  <c r="Y41" i="2"/>
  <c r="Y42" i="2" a="1"/>
  <c r="Y42" i="2"/>
  <c r="Y43" i="2" a="1"/>
  <c r="Y43" i="2"/>
  <c r="Y44" i="2" a="1"/>
  <c r="Y44" i="2"/>
  <c r="Y45" i="2" a="1"/>
  <c r="Y45" i="2"/>
  <c r="Y46" i="2" a="1"/>
  <c r="Y46" i="2"/>
  <c r="Y47" i="2" a="1"/>
  <c r="Y47" i="2"/>
  <c r="Y48" i="2" a="1"/>
  <c r="Y48" i="2"/>
  <c r="Y49" i="2" a="1"/>
  <c r="Y49" i="2"/>
  <c r="Y50" i="2" a="1"/>
  <c r="Y50" i="2"/>
  <c r="Y51" i="2" a="1"/>
  <c r="Y51" i="2"/>
  <c r="Y52" i="2" a="1"/>
  <c r="Y52" i="2"/>
  <c r="Y53" i="2" a="1"/>
  <c r="Y53" i="2"/>
  <c r="Y54" i="2" a="1"/>
  <c r="Y54" i="2"/>
  <c r="Y55" i="2" a="1"/>
  <c r="Y55" i="2"/>
  <c r="Y56" i="2" a="1"/>
  <c r="Y56" i="2"/>
  <c r="Y57" i="2" a="1"/>
  <c r="Y57" i="2"/>
  <c r="Y58" i="2" a="1"/>
  <c r="Y58" i="2"/>
  <c r="Y59" i="2" a="1"/>
  <c r="Y59" i="2"/>
  <c r="Y60" i="2" a="1"/>
  <c r="Y60" i="2"/>
  <c r="Y61" i="2" a="1"/>
  <c r="Y61" i="2"/>
  <c r="Y62" i="2" a="1"/>
  <c r="Y62" i="2"/>
  <c r="Y63" i="2" a="1"/>
  <c r="Y63" i="2"/>
  <c r="Y64" i="2" a="1"/>
  <c r="Y64" i="2"/>
  <c r="Y65" i="2" a="1"/>
  <c r="Y65" i="2"/>
  <c r="Y66" i="2" a="1"/>
  <c r="Y66" i="2"/>
  <c r="A31" i="26"/>
  <c r="K31" i="26" s="1"/>
  <c r="A23" i="26"/>
  <c r="K23" i="26" s="1"/>
  <c r="A26" i="26"/>
  <c r="K26" i="26" s="1"/>
  <c r="A19" i="26"/>
  <c r="K19" i="26" s="1"/>
  <c r="A13" i="26"/>
  <c r="K13" i="26" s="1"/>
  <c r="A20" i="26"/>
  <c r="K20" i="26" s="1"/>
  <c r="A27" i="26"/>
  <c r="K27" i="26" s="1"/>
  <c r="A17" i="26"/>
  <c r="K17" i="26" s="1"/>
  <c r="A12" i="26"/>
  <c r="K12" i="26" s="1"/>
  <c r="A21" i="26"/>
  <c r="K21" i="26" s="1"/>
  <c r="A30" i="26"/>
  <c r="K30" i="26" s="1"/>
  <c r="A16" i="26"/>
  <c r="K16" i="26" s="1"/>
  <c r="A22" i="26"/>
  <c r="K22" i="26" s="1"/>
  <c r="A25" i="26"/>
  <c r="K25" i="26" s="1"/>
  <c r="A14" i="26"/>
  <c r="K14" i="26" s="1"/>
  <c r="A29" i="26"/>
  <c r="K29" i="26" s="1"/>
  <c r="A18" i="26"/>
  <c r="K18" i="26" s="1"/>
  <c r="A28" i="26"/>
  <c r="K28" i="26" s="1"/>
  <c r="A15" i="26"/>
  <c r="K15" i="26" s="1"/>
  <c r="A11" i="26"/>
  <c r="K11" i="26" s="1"/>
  <c r="A24" i="26"/>
  <c r="K24" i="26" s="1"/>
  <c r="T71" i="18" a="1"/>
  <c r="T71" i="18"/>
  <c r="T72" i="18" a="1"/>
  <c r="T72" i="18"/>
  <c r="T73" i="18" a="1"/>
  <c r="T73" i="18"/>
  <c r="T74" i="18" a="1"/>
  <c r="T74" i="18"/>
  <c r="T75" i="18" a="1"/>
  <c r="T75" i="18"/>
  <c r="T76" i="18" a="1"/>
  <c r="T76" i="18"/>
  <c r="T77" i="18" a="1"/>
  <c r="T77" i="18"/>
  <c r="T78" i="18" a="1"/>
  <c r="T78" i="18"/>
  <c r="T79" i="18" a="1"/>
  <c r="T79" i="18"/>
  <c r="T80" i="18" a="1"/>
  <c r="T80" i="18"/>
  <c r="T81" i="18" a="1"/>
  <c r="T81" i="18"/>
  <c r="T82" i="18" a="1"/>
  <c r="T82" i="18"/>
  <c r="T83" i="18" a="1"/>
  <c r="T83" i="18"/>
  <c r="T84" i="18" a="1"/>
  <c r="T84" i="18"/>
  <c r="T85" i="18" a="1"/>
  <c r="T85" i="18"/>
  <c r="T86" i="18" a="1"/>
  <c r="T86" i="18"/>
  <c r="T87" i="18" a="1"/>
  <c r="T87" i="18"/>
  <c r="T88" i="18" a="1"/>
  <c r="T88" i="18"/>
  <c r="T89" i="18" a="1"/>
  <c r="T89" i="18"/>
  <c r="U71" i="18" a="1"/>
  <c r="U71" i="18"/>
  <c r="U72" i="18" a="1"/>
  <c r="U72" i="18"/>
  <c r="U73" i="18" a="1"/>
  <c r="U73" i="18"/>
  <c r="U74" i="18" a="1"/>
  <c r="U74" i="18"/>
  <c r="U75" i="18" a="1"/>
  <c r="U75" i="18"/>
  <c r="U76" i="18" a="1"/>
  <c r="U76" i="18"/>
  <c r="U77" i="18" a="1"/>
  <c r="U77" i="18"/>
  <c r="U78" i="18" a="1"/>
  <c r="U78" i="18"/>
  <c r="U79" i="18" a="1"/>
  <c r="U79" i="18"/>
  <c r="U80" i="18" a="1"/>
  <c r="U80" i="18"/>
  <c r="U81" i="18" a="1"/>
  <c r="U81" i="18"/>
  <c r="U82" i="18" a="1"/>
  <c r="U82" i="18"/>
  <c r="U83" i="18" a="1"/>
  <c r="U83" i="18"/>
  <c r="U84" i="18" a="1"/>
  <c r="U84" i="18"/>
  <c r="U85" i="18" a="1"/>
  <c r="U85" i="18"/>
  <c r="U86" i="18" a="1"/>
  <c r="U86" i="18"/>
  <c r="U87" i="18" a="1"/>
  <c r="U87" i="18"/>
  <c r="U88" i="18" a="1"/>
  <c r="U88" i="18"/>
  <c r="U89" i="18" a="1"/>
  <c r="U89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N71" i="18" a="1"/>
  <c r="N71" i="18"/>
  <c r="N72" i="18" a="1"/>
  <c r="N72" i="18"/>
  <c r="N73" i="18" a="1"/>
  <c r="N73" i="18"/>
  <c r="N74" i="18" a="1"/>
  <c r="N74" i="18"/>
  <c r="N75" i="18" a="1"/>
  <c r="N75" i="18"/>
  <c r="N76" i="18" a="1"/>
  <c r="N76" i="18"/>
  <c r="N77" i="18" a="1"/>
  <c r="N77" i="18"/>
  <c r="N78" i="18" a="1"/>
  <c r="N78" i="18"/>
  <c r="N79" i="18" a="1"/>
  <c r="N79" i="18"/>
  <c r="N80" i="18" a="1"/>
  <c r="N80" i="18"/>
  <c r="N81" i="18" a="1"/>
  <c r="N81" i="18"/>
  <c r="N82" i="18" a="1"/>
  <c r="N82" i="18"/>
  <c r="N83" i="18" a="1"/>
  <c r="N83" i="18"/>
  <c r="N84" i="18" a="1"/>
  <c r="N84" i="18"/>
  <c r="N85" i="18" a="1"/>
  <c r="N85" i="18"/>
  <c r="N86" i="18" a="1"/>
  <c r="N86" i="18"/>
  <c r="N87" i="18" a="1"/>
  <c r="N87" i="18"/>
  <c r="N88" i="18" a="1"/>
  <c r="N88" i="18"/>
  <c r="N89" i="18" a="1"/>
  <c r="N89" i="18"/>
  <c r="O71" i="18" a="1"/>
  <c r="O71" i="18"/>
  <c r="O72" i="18" a="1"/>
  <c r="O72" i="18"/>
  <c r="O73" i="18" a="1"/>
  <c r="O73" i="18"/>
  <c r="O74" i="18" a="1"/>
  <c r="O74" i="18"/>
  <c r="O75" i="18" a="1"/>
  <c r="O75" i="18"/>
  <c r="O76" i="18" a="1"/>
  <c r="O76" i="18"/>
  <c r="O77" i="18" a="1"/>
  <c r="O77" i="18"/>
  <c r="O78" i="18" a="1"/>
  <c r="O78" i="18"/>
  <c r="O79" i="18" a="1"/>
  <c r="O79" i="18"/>
  <c r="O80" i="18" a="1"/>
  <c r="O80" i="18"/>
  <c r="O81" i="18" a="1"/>
  <c r="O81" i="18"/>
  <c r="O82" i="18" a="1"/>
  <c r="O82" i="18"/>
  <c r="O83" i="18" a="1"/>
  <c r="O83" i="18"/>
  <c r="O84" i="18" a="1"/>
  <c r="O84" i="18"/>
  <c r="O85" i="18" a="1"/>
  <c r="O85" i="18"/>
  <c r="O86" i="18" a="1"/>
  <c r="O86" i="18"/>
  <c r="O87" i="18" a="1"/>
  <c r="O87" i="18"/>
  <c r="O88" i="18" a="1"/>
  <c r="O88" i="18"/>
  <c r="O89" i="18" a="1"/>
  <c r="O89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S30" i="25" a="1"/>
  <c r="S30" i="25"/>
  <c r="Q30" i="25" a="1"/>
  <c r="Q30" i="25"/>
  <c r="T30" i="25" a="1"/>
  <c r="T30" i="25"/>
  <c r="R30" i="25" a="1"/>
  <c r="R30" i="25"/>
  <c r="U30" i="25" a="1"/>
  <c r="U30" i="25"/>
  <c r="V30" i="25" a="1"/>
  <c r="V30" i="25"/>
  <c r="W30" i="25" a="1"/>
  <c r="W30" i="25"/>
  <c r="X30" i="25" a="1"/>
  <c r="X30" i="25"/>
  <c r="F20" i="25" a="1"/>
  <c r="F20" i="25" s="1"/>
  <c r="T66" i="18" a="1"/>
  <c r="T66" i="18"/>
  <c r="V66" i="18" s="1"/>
  <c r="T67" i="18" a="1"/>
  <c r="T67" i="18"/>
  <c r="V67" i="18" s="1"/>
  <c r="T68" i="18" a="1"/>
  <c r="T68" i="18"/>
  <c r="V68" i="18" s="1"/>
  <c r="T69" i="18" a="1"/>
  <c r="T69" i="18"/>
  <c r="V69" i="18" s="1"/>
  <c r="T70" i="18" a="1"/>
  <c r="T70" i="18"/>
  <c r="V70" i="18" s="1"/>
  <c r="U66" i="18" a="1"/>
  <c r="U66" i="18"/>
  <c r="U67" i="18" a="1"/>
  <c r="U67" i="18"/>
  <c r="U68" i="18" a="1"/>
  <c r="U68" i="18"/>
  <c r="U69" i="18" a="1"/>
  <c r="U69" i="18"/>
  <c r="U70" i="18" a="1"/>
  <c r="U70" i="18"/>
  <c r="N66" i="18" a="1"/>
  <c r="N66" i="18"/>
  <c r="P66" i="18" s="1"/>
  <c r="N67" i="18" a="1"/>
  <c r="N67" i="18"/>
  <c r="P67" i="18" s="1"/>
  <c r="N68" i="18" a="1"/>
  <c r="N68" i="18"/>
  <c r="P68" i="18" s="1"/>
  <c r="N69" i="18" a="1"/>
  <c r="N69" i="18"/>
  <c r="P69" i="18" s="1"/>
  <c r="N70" i="18" a="1"/>
  <c r="N70" i="18"/>
  <c r="P70" i="18" s="1"/>
  <c r="O66" i="18" a="1"/>
  <c r="O66" i="18"/>
  <c r="O67" i="18" a="1"/>
  <c r="O67" i="18"/>
  <c r="O68" i="18" a="1"/>
  <c r="O68" i="18"/>
  <c r="O69" i="18" a="1"/>
  <c r="O69" i="18"/>
  <c r="O70" i="18" a="1"/>
  <c r="O70" i="18"/>
  <c r="E66" i="18"/>
  <c r="E67" i="18"/>
  <c r="E68" i="18"/>
  <c r="E69" i="18"/>
  <c r="E70" i="18"/>
  <c r="H66" i="18"/>
  <c r="H67" i="18"/>
  <c r="H68" i="18"/>
  <c r="H69" i="18"/>
  <c r="H70" i="18"/>
  <c r="T57" i="18" a="1"/>
  <c r="T57" i="18"/>
  <c r="V57" i="18" s="1"/>
  <c r="T58" i="18" a="1"/>
  <c r="T58" i="18"/>
  <c r="V58" i="18" s="1"/>
  <c r="T59" i="18" a="1"/>
  <c r="T59" i="18"/>
  <c r="V59" i="18" s="1"/>
  <c r="T60" i="18" a="1"/>
  <c r="T60" i="18"/>
  <c r="V60" i="18" s="1"/>
  <c r="T61" i="18" a="1"/>
  <c r="T61" i="18"/>
  <c r="V61" i="18" s="1"/>
  <c r="T62" i="18" a="1"/>
  <c r="T62" i="18"/>
  <c r="V62" i="18" s="1"/>
  <c r="T63" i="18" a="1"/>
  <c r="T63" i="18"/>
  <c r="V63" i="18" s="1"/>
  <c r="T64" i="18" a="1"/>
  <c r="T64" i="18"/>
  <c r="V64" i="18" s="1"/>
  <c r="T65" i="18" a="1"/>
  <c r="T65" i="18"/>
  <c r="V65" i="18" s="1"/>
  <c r="U57" i="18" a="1"/>
  <c r="U57" i="18"/>
  <c r="U58" i="18" a="1"/>
  <c r="U58" i="18"/>
  <c r="U59" i="18" a="1"/>
  <c r="U59" i="18"/>
  <c r="U60" i="18" a="1"/>
  <c r="U60" i="18"/>
  <c r="U61" i="18" a="1"/>
  <c r="U61" i="18"/>
  <c r="U62" i="18" a="1"/>
  <c r="U62" i="18"/>
  <c r="U63" i="18" a="1"/>
  <c r="U63" i="18"/>
  <c r="U64" i="18" a="1"/>
  <c r="U64" i="18"/>
  <c r="U65" i="18" a="1"/>
  <c r="U65" i="18"/>
  <c r="N55" i="18" a="1"/>
  <c r="N55" i="18"/>
  <c r="P55" i="18" s="1"/>
  <c r="N56" i="18" a="1"/>
  <c r="N56" i="18"/>
  <c r="P56" i="18" s="1"/>
  <c r="N57" i="18" a="1"/>
  <c r="N57" i="18"/>
  <c r="P57" i="18" s="1"/>
  <c r="N58" i="18" a="1"/>
  <c r="N58" i="18"/>
  <c r="P58" i="18" s="1"/>
  <c r="N59" i="18" a="1"/>
  <c r="N59" i="18"/>
  <c r="P59" i="18" s="1"/>
  <c r="N60" i="18" a="1"/>
  <c r="N60" i="18"/>
  <c r="P60" i="18" s="1"/>
  <c r="N61" i="18" a="1"/>
  <c r="N61" i="18"/>
  <c r="P61" i="18" s="1"/>
  <c r="N62" i="18" a="1"/>
  <c r="N62" i="18"/>
  <c r="P62" i="18" s="1"/>
  <c r="N63" i="18" a="1"/>
  <c r="N63" i="18"/>
  <c r="P63" i="18" s="1"/>
  <c r="N64" i="18" a="1"/>
  <c r="N64" i="18"/>
  <c r="P64" i="18" s="1"/>
  <c r="N65" i="18" a="1"/>
  <c r="N65" i="18"/>
  <c r="P65" i="18" s="1"/>
  <c r="O55" i="18" a="1"/>
  <c r="O55" i="18"/>
  <c r="O56" i="18" a="1"/>
  <c r="O56" i="18"/>
  <c r="O57" i="18" a="1"/>
  <c r="O57" i="18"/>
  <c r="O58" i="18" a="1"/>
  <c r="O58" i="18"/>
  <c r="O59" i="18" a="1"/>
  <c r="O59" i="18"/>
  <c r="O60" i="18" a="1"/>
  <c r="O60" i="18"/>
  <c r="O61" i="18" a="1"/>
  <c r="O61" i="18"/>
  <c r="O62" i="18" a="1"/>
  <c r="O62" i="18"/>
  <c r="O63" i="18" a="1"/>
  <c r="O63" i="18"/>
  <c r="O64" i="18" a="1"/>
  <c r="O64" i="18"/>
  <c r="O65" i="18" a="1"/>
  <c r="O65" i="18"/>
  <c r="Q54" i="6"/>
  <c r="Q55" i="6"/>
  <c r="Q56" i="6"/>
  <c r="Q57" i="6"/>
  <c r="Q58" i="6"/>
  <c r="Q59" i="6"/>
  <c r="Q60" i="6"/>
  <c r="I54" i="6" a="1"/>
  <c r="I54" i="6"/>
  <c r="I55" i="6" a="1"/>
  <c r="I55" i="6"/>
  <c r="I56" i="6" a="1"/>
  <c r="I56" i="6"/>
  <c r="I57" i="6" a="1"/>
  <c r="I57" i="6"/>
  <c r="I58" i="6" a="1"/>
  <c r="I58" i="6"/>
  <c r="I59" i="6" a="1"/>
  <c r="I59" i="6"/>
  <c r="I60" i="6" a="1"/>
  <c r="I60" i="6"/>
  <c r="H54" i="6" a="1"/>
  <c r="H54" i="6"/>
  <c r="H55" i="6" a="1"/>
  <c r="H55" i="6"/>
  <c r="H56" i="6" a="1"/>
  <c r="H56" i="6"/>
  <c r="H57" i="6" a="1"/>
  <c r="H57" i="6"/>
  <c r="H58" i="6" a="1"/>
  <c r="H58" i="6"/>
  <c r="H59" i="6" a="1"/>
  <c r="H59" i="6"/>
  <c r="H60" i="6" a="1"/>
  <c r="H60" i="6"/>
  <c r="R11" i="18" a="1"/>
  <c r="R11" i="18"/>
  <c r="L11" i="18" a="1"/>
  <c r="L11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N11" i="18" a="1"/>
  <c r="N11" i="18" s="1"/>
  <c r="T11" i="18" a="1"/>
  <c r="T11" i="18" s="1"/>
  <c r="K35" i="33"/>
  <c r="G35" i="33"/>
  <c r="R34" i="33" a="1"/>
  <c r="R34" i="33" s="1"/>
  <c r="Q34" i="33" a="1"/>
  <c r="Q34" i="33" s="1"/>
  <c r="K34" i="33"/>
  <c r="G34" i="33"/>
  <c r="R33" i="33" a="1"/>
  <c r="R33" i="33" s="1"/>
  <c r="Q33" i="33" a="1"/>
  <c r="Q33" i="33" s="1"/>
  <c r="K33" i="33"/>
  <c r="G33" i="33"/>
  <c r="R32" i="33" a="1"/>
  <c r="R32" i="33" s="1"/>
  <c r="Q32" i="33" a="1"/>
  <c r="Q32" i="33" s="1"/>
  <c r="K32" i="33"/>
  <c r="G32" i="33"/>
  <c r="R31" i="33" a="1"/>
  <c r="R31" i="33" s="1"/>
  <c r="Q31" i="33" a="1"/>
  <c r="Q31" i="33" s="1"/>
  <c r="K31" i="33"/>
  <c r="G31" i="33"/>
  <c r="R30" i="33" a="1"/>
  <c r="R30" i="33" s="1"/>
  <c r="Q30" i="33" a="1"/>
  <c r="Q30" i="33" s="1"/>
  <c r="K30" i="33"/>
  <c r="G30" i="33"/>
  <c r="R29" i="33" a="1"/>
  <c r="R29" i="33" s="1"/>
  <c r="Q29" i="33" a="1"/>
  <c r="Q29" i="33" s="1"/>
  <c r="K29" i="33"/>
  <c r="G29" i="33"/>
  <c r="R28" i="33" a="1"/>
  <c r="R28" i="33" s="1"/>
  <c r="Q28" i="33" a="1"/>
  <c r="Q28" i="33" s="1"/>
  <c r="K28" i="33"/>
  <c r="G28" i="33"/>
  <c r="R27" i="33" a="1"/>
  <c r="R27" i="33" s="1"/>
  <c r="Q27" i="33" a="1"/>
  <c r="Q27" i="33" s="1"/>
  <c r="K27" i="33"/>
  <c r="G27" i="33"/>
  <c r="R26" i="33" a="1"/>
  <c r="R26" i="33" s="1"/>
  <c r="Q26" i="33" a="1"/>
  <c r="Q26" i="33" s="1"/>
  <c r="K26" i="33"/>
  <c r="G26" i="33"/>
  <c r="R25" i="33" a="1"/>
  <c r="R25" i="33" s="1"/>
  <c r="Q25" i="33" a="1"/>
  <c r="Q25" i="33" s="1"/>
  <c r="K25" i="33"/>
  <c r="G25" i="33"/>
  <c r="R24" i="33" a="1"/>
  <c r="R24" i="33" s="1"/>
  <c r="Q24" i="33" a="1"/>
  <c r="Q24" i="33" s="1"/>
  <c r="K24" i="33"/>
  <c r="G24" i="33"/>
  <c r="R23" i="33" a="1"/>
  <c r="R23" i="33" s="1"/>
  <c r="Q23" i="33" a="1"/>
  <c r="Q23" i="33" s="1"/>
  <c r="K23" i="33"/>
  <c r="G23" i="33"/>
  <c r="R22" i="33" a="1"/>
  <c r="R22" i="33" s="1"/>
  <c r="Q22" i="33" a="1"/>
  <c r="Q22" i="33" s="1"/>
  <c r="K22" i="33"/>
  <c r="G22" i="33"/>
  <c r="R21" i="33" a="1"/>
  <c r="R21" i="33" s="1"/>
  <c r="Q21" i="33" a="1"/>
  <c r="Q21" i="33" s="1"/>
  <c r="K21" i="33"/>
  <c r="G21" i="33"/>
  <c r="R20" i="33" a="1"/>
  <c r="R20" i="33" s="1"/>
  <c r="Q20" i="33" a="1"/>
  <c r="Q20" i="33" s="1"/>
  <c r="K20" i="33"/>
  <c r="G20" i="33"/>
  <c r="R19" i="33" a="1"/>
  <c r="R19" i="33" s="1"/>
  <c r="Q19" i="33" a="1"/>
  <c r="Q19" i="33" s="1"/>
  <c r="K19" i="33"/>
  <c r="G19" i="33"/>
  <c r="R18" i="33" a="1"/>
  <c r="R18" i="33" s="1"/>
  <c r="Q18" i="33" a="1"/>
  <c r="Q18" i="33" s="1"/>
  <c r="K18" i="33"/>
  <c r="G18" i="33"/>
  <c r="R17" i="33" a="1"/>
  <c r="R17" i="33" s="1"/>
  <c r="Q17" i="33" a="1"/>
  <c r="Q17" i="33" s="1"/>
  <c r="K17" i="33"/>
  <c r="G17" i="33"/>
  <c r="K16" i="33"/>
  <c r="K15" i="33"/>
  <c r="G15" i="33"/>
  <c r="K14" i="33"/>
  <c r="G14" i="33"/>
  <c r="K13" i="33"/>
  <c r="G13" i="33"/>
  <c r="K12" i="33"/>
  <c r="G12" i="33"/>
  <c r="O11" i="33" a="1"/>
  <c r="K11" i="33"/>
  <c r="G11" i="33"/>
  <c r="W60" i="32" a="1"/>
  <c r="W60" i="32" s="1"/>
  <c r="T60" i="32"/>
  <c r="P60" i="32"/>
  <c r="J60" i="32" a="1"/>
  <c r="J60" i="32" s="1"/>
  <c r="I60" i="32" a="1"/>
  <c r="I60" i="32" s="1"/>
  <c r="E60" i="32"/>
  <c r="W59" i="32" a="1"/>
  <c r="W59" i="32" s="1"/>
  <c r="T59" i="32"/>
  <c r="P59" i="32"/>
  <c r="J59" i="32" a="1"/>
  <c r="J59" i="32" s="1"/>
  <c r="I59" i="32" a="1"/>
  <c r="I59" i="32" s="1"/>
  <c r="E59" i="32"/>
  <c r="W58" i="32" a="1"/>
  <c r="W58" i="32" s="1"/>
  <c r="T58" i="32"/>
  <c r="P58" i="32"/>
  <c r="J58" i="32" a="1"/>
  <c r="J58" i="32" s="1"/>
  <c r="I58" i="32" a="1"/>
  <c r="I58" i="32" s="1"/>
  <c r="E58" i="32"/>
  <c r="W57" i="32" a="1"/>
  <c r="W57" i="32" s="1"/>
  <c r="T57" i="32"/>
  <c r="P57" i="32"/>
  <c r="J57" i="32" a="1"/>
  <c r="J57" i="32" s="1"/>
  <c r="I57" i="32" a="1"/>
  <c r="I57" i="32" s="1"/>
  <c r="E57" i="32"/>
  <c r="W56" i="32" a="1"/>
  <c r="W56" i="32" s="1"/>
  <c r="T56" i="32"/>
  <c r="P56" i="32"/>
  <c r="J56" i="32" a="1"/>
  <c r="J56" i="32" s="1"/>
  <c r="I56" i="32" a="1"/>
  <c r="I56" i="32" s="1"/>
  <c r="E56" i="32"/>
  <c r="W55" i="32" a="1"/>
  <c r="W55" i="32" s="1"/>
  <c r="T55" i="32"/>
  <c r="P55" i="32"/>
  <c r="J55" i="32" a="1"/>
  <c r="J55" i="32" s="1"/>
  <c r="I55" i="32" a="1"/>
  <c r="I55" i="32" s="1"/>
  <c r="E55" i="32"/>
  <c r="W54" i="32" a="1"/>
  <c r="W54" i="32" s="1"/>
  <c r="T54" i="32"/>
  <c r="P54" i="32"/>
  <c r="J54" i="32" a="1"/>
  <c r="J54" i="32" s="1"/>
  <c r="I54" i="32" a="1"/>
  <c r="I54" i="32" s="1"/>
  <c r="E54" i="32"/>
  <c r="P53" i="32"/>
  <c r="J53" i="32" a="1"/>
  <c r="J53" i="32" s="1"/>
  <c r="I53" i="32" a="1"/>
  <c r="I53" i="32" s="1"/>
  <c r="E53" i="32"/>
  <c r="P52" i="32"/>
  <c r="J52" i="32" a="1"/>
  <c r="J52" i="32" s="1"/>
  <c r="I52" i="32" a="1"/>
  <c r="I52" i="32" s="1"/>
  <c r="E52" i="32"/>
  <c r="P51" i="32"/>
  <c r="J51" i="32" a="1"/>
  <c r="J51" i="32" s="1"/>
  <c r="I51" i="32" a="1"/>
  <c r="I51" i="32" s="1"/>
  <c r="E51" i="32"/>
  <c r="T50" i="32"/>
  <c r="P50" i="32"/>
  <c r="J50" i="32" a="1"/>
  <c r="J50" i="32" s="1"/>
  <c r="I50" i="32" a="1"/>
  <c r="I50" i="32" s="1"/>
  <c r="E50" i="32"/>
  <c r="T49" i="32"/>
  <c r="P49" i="32"/>
  <c r="J49" i="32" a="1"/>
  <c r="J49" i="32" s="1"/>
  <c r="I49" i="32" a="1"/>
  <c r="I49" i="32" s="1"/>
  <c r="E49" i="32"/>
  <c r="P48" i="32"/>
  <c r="J48" i="32" a="1"/>
  <c r="J48" i="32" s="1"/>
  <c r="I48" i="32" a="1"/>
  <c r="I48" i="32" s="1"/>
  <c r="E48" i="32"/>
  <c r="P47" i="32"/>
  <c r="J47" i="32" a="1"/>
  <c r="J47" i="32" s="1"/>
  <c r="I47" i="32" a="1"/>
  <c r="I47" i="32" s="1"/>
  <c r="E47" i="32"/>
  <c r="P46" i="32"/>
  <c r="J46" i="32" a="1"/>
  <c r="J46" i="32" s="1"/>
  <c r="I46" i="32" a="1"/>
  <c r="I46" i="32" s="1"/>
  <c r="E46" i="32"/>
  <c r="P45" i="32"/>
  <c r="J45" i="32" a="1"/>
  <c r="J45" i="32" s="1"/>
  <c r="I45" i="32" a="1"/>
  <c r="I45" i="32" s="1"/>
  <c r="E45" i="32"/>
  <c r="P44" i="32"/>
  <c r="J44" i="32" a="1"/>
  <c r="J44" i="32" s="1"/>
  <c r="I44" i="32" a="1"/>
  <c r="I44" i="32" s="1"/>
  <c r="E44" i="32"/>
  <c r="P43" i="32"/>
  <c r="J43" i="32" a="1"/>
  <c r="J43" i="32" s="1"/>
  <c r="I43" i="32" a="1"/>
  <c r="I43" i="32" s="1"/>
  <c r="E43" i="32"/>
  <c r="P42" i="32"/>
  <c r="J42" i="32" a="1"/>
  <c r="J42" i="32" s="1"/>
  <c r="I42" i="32" a="1"/>
  <c r="I42" i="32" s="1"/>
  <c r="E42" i="32"/>
  <c r="T41" i="32"/>
  <c r="P41" i="32"/>
  <c r="J41" i="32" a="1"/>
  <c r="J41" i="32" s="1"/>
  <c r="I41" i="32" a="1"/>
  <c r="I41" i="32" s="1"/>
  <c r="E41" i="32"/>
  <c r="P40" i="32"/>
  <c r="J40" i="32" a="1"/>
  <c r="J40" i="32" s="1"/>
  <c r="I40" i="32" a="1"/>
  <c r="I40" i="32" s="1"/>
  <c r="E40" i="32"/>
  <c r="P39" i="32"/>
  <c r="J39" i="32" a="1"/>
  <c r="J39" i="32" s="1"/>
  <c r="I39" i="32" a="1"/>
  <c r="I39" i="32" s="1"/>
  <c r="E39" i="32"/>
  <c r="P38" i="32"/>
  <c r="J38" i="32" a="1"/>
  <c r="J38" i="32" s="1"/>
  <c r="I38" i="32" a="1"/>
  <c r="I38" i="32" s="1"/>
  <c r="E38" i="32"/>
  <c r="P37" i="32"/>
  <c r="J37" i="32" a="1"/>
  <c r="J37" i="32" s="1"/>
  <c r="I37" i="32" a="1"/>
  <c r="I37" i="32" s="1"/>
  <c r="E37" i="32"/>
  <c r="P36" i="32"/>
  <c r="J36" i="32" a="1"/>
  <c r="J36" i="32" s="1"/>
  <c r="I36" i="32" a="1"/>
  <c r="I36" i="32" s="1"/>
  <c r="E36" i="32"/>
  <c r="P35" i="32"/>
  <c r="J35" i="32" a="1"/>
  <c r="J35" i="32" s="1"/>
  <c r="I35" i="32" a="1"/>
  <c r="I35" i="32" s="1"/>
  <c r="E35" i="32"/>
  <c r="P34" i="32"/>
  <c r="J34" i="32" a="1"/>
  <c r="J34" i="32" s="1"/>
  <c r="I34" i="32" a="1"/>
  <c r="I34" i="32" s="1"/>
  <c r="E34" i="32"/>
  <c r="P33" i="32"/>
  <c r="J33" i="32" a="1"/>
  <c r="J33" i="32" s="1"/>
  <c r="I33" i="32" a="1"/>
  <c r="I33" i="32" s="1"/>
  <c r="E33" i="32"/>
  <c r="P32" i="32"/>
  <c r="J32" i="32" a="1"/>
  <c r="J32" i="32" s="1"/>
  <c r="I32" i="32" a="1"/>
  <c r="I32" i="32" s="1"/>
  <c r="E32" i="32"/>
  <c r="P31" i="32"/>
  <c r="J31" i="32" a="1"/>
  <c r="J31" i="32" s="1"/>
  <c r="I31" i="32" a="1"/>
  <c r="I31" i="32" s="1"/>
  <c r="E31" i="32"/>
  <c r="P30" i="32"/>
  <c r="J30" i="32" a="1"/>
  <c r="J30" i="32" s="1"/>
  <c r="I30" i="32" a="1"/>
  <c r="I30" i="32" s="1"/>
  <c r="E30" i="32"/>
  <c r="P29" i="32"/>
  <c r="J29" i="32" a="1"/>
  <c r="J29" i="32" s="1"/>
  <c r="I29" i="32" a="1"/>
  <c r="I29" i="32" s="1"/>
  <c r="E29" i="32"/>
  <c r="P28" i="32"/>
  <c r="J28" i="32" a="1"/>
  <c r="J28" i="32" s="1"/>
  <c r="I28" i="32" a="1"/>
  <c r="I28" i="32" s="1"/>
  <c r="E28" i="32"/>
  <c r="P27" i="32"/>
  <c r="J27" i="32" a="1"/>
  <c r="J27" i="32" s="1"/>
  <c r="I27" i="32" a="1"/>
  <c r="I27" i="32" s="1"/>
  <c r="E27" i="32"/>
  <c r="P26" i="32"/>
  <c r="J26" i="32" a="1"/>
  <c r="J26" i="32" s="1"/>
  <c r="I26" i="32" a="1"/>
  <c r="I26" i="32" s="1"/>
  <c r="E26" i="32"/>
  <c r="P25" i="32"/>
  <c r="J25" i="32" a="1"/>
  <c r="J25" i="32" s="1"/>
  <c r="I25" i="32" a="1"/>
  <c r="I25" i="32" s="1"/>
  <c r="E25" i="32"/>
  <c r="P24" i="32"/>
  <c r="J24" i="32" a="1"/>
  <c r="J24" i="32" s="1"/>
  <c r="I24" i="32" a="1"/>
  <c r="I24" i="32" s="1"/>
  <c r="E24" i="32"/>
  <c r="P23" i="32"/>
  <c r="J23" i="32" a="1"/>
  <c r="J23" i="32" s="1"/>
  <c r="I23" i="32" a="1"/>
  <c r="I23" i="32" s="1"/>
  <c r="E23" i="32"/>
  <c r="P22" i="32"/>
  <c r="J22" i="32" a="1"/>
  <c r="J22" i="32" s="1"/>
  <c r="I22" i="32" a="1"/>
  <c r="I22" i="32" s="1"/>
  <c r="E22" i="32"/>
  <c r="P21" i="32"/>
  <c r="J21" i="32" a="1"/>
  <c r="J21" i="32" s="1"/>
  <c r="I21" i="32" a="1"/>
  <c r="I21" i="32" s="1"/>
  <c r="E21" i="32"/>
  <c r="P20" i="32"/>
  <c r="J20" i="32" a="1"/>
  <c r="J20" i="32" s="1"/>
  <c r="I20" i="32" a="1"/>
  <c r="I20" i="32" s="1"/>
  <c r="E20" i="32"/>
  <c r="P19" i="32"/>
  <c r="J19" i="32" a="1"/>
  <c r="J19" i="32" s="1"/>
  <c r="I19" i="32" a="1"/>
  <c r="I19" i="32" s="1"/>
  <c r="E19" i="32"/>
  <c r="P18" i="32"/>
  <c r="J18" i="32" a="1"/>
  <c r="J18" i="32" s="1"/>
  <c r="I18" i="32" a="1"/>
  <c r="I18" i="32" s="1"/>
  <c r="E18" i="32"/>
  <c r="P17" i="32"/>
  <c r="J17" i="32" a="1"/>
  <c r="J17" i="32" s="1"/>
  <c r="I17" i="32" a="1"/>
  <c r="I17" i="32" s="1"/>
  <c r="E17" i="32"/>
  <c r="P16" i="32"/>
  <c r="J16" i="32" a="1"/>
  <c r="J16" i="32" s="1"/>
  <c r="I16" i="32" a="1"/>
  <c r="I16" i="32" s="1"/>
  <c r="E16" i="32"/>
  <c r="P15" i="32"/>
  <c r="J15" i="32" a="1"/>
  <c r="J15" i="32" s="1"/>
  <c r="I15" i="32" a="1"/>
  <c r="I15" i="32" s="1"/>
  <c r="E15" i="32"/>
  <c r="P14" i="32"/>
  <c r="J14" i="32" a="1"/>
  <c r="J14" i="32" s="1"/>
  <c r="I14" i="32" a="1"/>
  <c r="I14" i="32" s="1"/>
  <c r="E14" i="32"/>
  <c r="P13" i="32"/>
  <c r="J13" i="32" a="1"/>
  <c r="J13" i="32" s="1"/>
  <c r="I13" i="32" a="1"/>
  <c r="I13" i="32" s="1"/>
  <c r="E13" i="32"/>
  <c r="P12" i="32"/>
  <c r="J12" i="32" a="1"/>
  <c r="J12" i="32" s="1"/>
  <c r="I12" i="32" a="1"/>
  <c r="I12" i="32" s="1"/>
  <c r="E12" i="32"/>
  <c r="P11" i="32"/>
  <c r="J11" i="32" a="1"/>
  <c r="J11" i="32" s="1"/>
  <c r="I11" i="32" a="1"/>
  <c r="I11" i="32" s="1"/>
  <c r="E11" i="32"/>
  <c r="C11" i="25"/>
  <c r="P30" i="25" a="1"/>
  <c r="P30" i="25" s="1"/>
  <c r="O30" i="25" a="1"/>
  <c r="O30" i="25" s="1"/>
  <c r="N30" i="25" a="1"/>
  <c r="N30" i="25" s="1"/>
  <c r="M30" i="25" a="1"/>
  <c r="M30" i="25" s="1"/>
  <c r="L30" i="25" a="1"/>
  <c r="L30" i="25" s="1"/>
  <c r="K30" i="25" a="1"/>
  <c r="K30" i="25" s="1"/>
  <c r="I30" i="25" a="1"/>
  <c r="I30" i="25" s="1"/>
  <c r="H30" i="25" a="1"/>
  <c r="H30" i="25" s="1"/>
  <c r="G30" i="25" a="1"/>
  <c r="G30" i="25" s="1"/>
  <c r="F30" i="25" a="1"/>
  <c r="F30" i="25" s="1"/>
  <c r="D30" i="25" a="1"/>
  <c r="D30" i="25" s="1"/>
  <c r="C30" i="25" a="1"/>
  <c r="C30" i="25" s="1"/>
  <c r="E30" i="25" a="1"/>
  <c r="E30" i="25" s="1"/>
  <c r="B30" i="25" a="1"/>
  <c r="B30" i="25" s="1"/>
  <c r="G35" i="23"/>
  <c r="S34" i="23" a="1"/>
  <c r="S34" i="23" s="1"/>
  <c r="R34" i="23" a="1"/>
  <c r="R34" i="23" s="1"/>
  <c r="Q34" i="23" a="1"/>
  <c r="Q34" i="23" s="1"/>
  <c r="G34" i="23"/>
  <c r="S33" i="23" a="1"/>
  <c r="S33" i="23" s="1"/>
  <c r="R33" i="23" a="1"/>
  <c r="R33" i="23" s="1"/>
  <c r="Q33" i="23" a="1"/>
  <c r="Q33" i="23" s="1"/>
  <c r="G33" i="23"/>
  <c r="S32" i="23" a="1"/>
  <c r="S32" i="23" s="1"/>
  <c r="R32" i="23" a="1"/>
  <c r="R32" i="23" s="1"/>
  <c r="Q32" i="23" a="1"/>
  <c r="Q32" i="23" s="1"/>
  <c r="G32" i="23"/>
  <c r="S31" i="23" a="1"/>
  <c r="S31" i="23" s="1"/>
  <c r="R31" i="23" a="1"/>
  <c r="R31" i="23" s="1"/>
  <c r="Q31" i="23" a="1"/>
  <c r="Q31" i="23" s="1"/>
  <c r="G31" i="23"/>
  <c r="S30" i="23" a="1"/>
  <c r="S30" i="23" s="1"/>
  <c r="R30" i="23" a="1"/>
  <c r="R30" i="23" s="1"/>
  <c r="Q30" i="23" a="1"/>
  <c r="Q30" i="23" s="1"/>
  <c r="G30" i="23"/>
  <c r="S29" i="23" a="1"/>
  <c r="S29" i="23" s="1"/>
  <c r="R29" i="23" a="1"/>
  <c r="R29" i="23" s="1"/>
  <c r="Q29" i="23" a="1"/>
  <c r="Q29" i="23" s="1"/>
  <c r="G29" i="23"/>
  <c r="S28" i="23" a="1"/>
  <c r="S28" i="23" s="1"/>
  <c r="R28" i="23" a="1"/>
  <c r="R28" i="23" s="1"/>
  <c r="Q28" i="23" a="1"/>
  <c r="Q28" i="23" s="1"/>
  <c r="G28" i="23"/>
  <c r="S27" i="23" a="1"/>
  <c r="S27" i="23" s="1"/>
  <c r="R27" i="23" a="1"/>
  <c r="R27" i="23" s="1"/>
  <c r="Q27" i="23" a="1"/>
  <c r="Q27" i="23" s="1"/>
  <c r="J27" i="23"/>
  <c r="G27" i="23"/>
  <c r="S26" i="23" a="1"/>
  <c r="S26" i="23" s="1"/>
  <c r="R26" i="23" a="1"/>
  <c r="R26" i="23" s="1"/>
  <c r="Q26" i="23" a="1"/>
  <c r="Q26" i="23" s="1"/>
  <c r="J26" i="23"/>
  <c r="G26" i="23"/>
  <c r="S25" i="23" a="1"/>
  <c r="S25" i="23" s="1"/>
  <c r="R25" i="23" a="1"/>
  <c r="R25" i="23" s="1"/>
  <c r="Q25" i="23" a="1"/>
  <c r="Q25" i="23" s="1"/>
  <c r="J25" i="23"/>
  <c r="G25" i="23"/>
  <c r="S24" i="23" a="1"/>
  <c r="S24" i="23" s="1"/>
  <c r="R24" i="23" a="1"/>
  <c r="R24" i="23" s="1"/>
  <c r="Q24" i="23" a="1"/>
  <c r="Q24" i="23" s="1"/>
  <c r="G24" i="23"/>
  <c r="S23" i="23" a="1"/>
  <c r="S23" i="23" s="1"/>
  <c r="R23" i="23" a="1"/>
  <c r="R23" i="23" s="1"/>
  <c r="Q23" i="23" a="1"/>
  <c r="Q23" i="23" s="1"/>
  <c r="G23" i="23"/>
  <c r="S22" i="23" a="1"/>
  <c r="S22" i="23" s="1"/>
  <c r="R22" i="23" a="1"/>
  <c r="R22" i="23" s="1"/>
  <c r="Q22" i="23" a="1"/>
  <c r="Q22" i="23" s="1"/>
  <c r="G22" i="23"/>
  <c r="S21" i="23" a="1"/>
  <c r="S21" i="23" s="1"/>
  <c r="R21" i="23" a="1"/>
  <c r="R21" i="23" s="1"/>
  <c r="Q21" i="23" a="1"/>
  <c r="Q21" i="23" s="1"/>
  <c r="G21" i="23"/>
  <c r="S20" i="23" a="1"/>
  <c r="S20" i="23" s="1"/>
  <c r="R20" i="23" a="1"/>
  <c r="R20" i="23" s="1"/>
  <c r="Q20" i="23" a="1"/>
  <c r="Q20" i="23" s="1"/>
  <c r="G20" i="23"/>
  <c r="S19" i="23" a="1"/>
  <c r="S19" i="23" s="1"/>
  <c r="R19" i="23" a="1"/>
  <c r="R19" i="23" s="1"/>
  <c r="Q19" i="23" a="1"/>
  <c r="Q19" i="23" s="1"/>
  <c r="G19" i="23"/>
  <c r="S18" i="23" a="1"/>
  <c r="S18" i="23" s="1"/>
  <c r="R18" i="23" a="1"/>
  <c r="R18" i="23" s="1"/>
  <c r="Q18" i="23" a="1"/>
  <c r="Q18" i="23" s="1"/>
  <c r="G18" i="23"/>
  <c r="S17" i="23" a="1"/>
  <c r="S17" i="23" s="1"/>
  <c r="R17" i="23" a="1"/>
  <c r="R17" i="23" s="1"/>
  <c r="Q17" i="23" a="1"/>
  <c r="Q17" i="23" s="1"/>
  <c r="G17" i="23"/>
  <c r="S16" i="23" a="1"/>
  <c r="S16" i="23" s="1"/>
  <c r="R16" i="23" a="1"/>
  <c r="R16" i="23" s="1"/>
  <c r="Q16" i="23" a="1"/>
  <c r="Q16" i="23" s="1"/>
  <c r="J15" i="23"/>
  <c r="G15" i="23"/>
  <c r="J14" i="23"/>
  <c r="G14" i="23"/>
  <c r="J13" i="23"/>
  <c r="G13" i="23"/>
  <c r="J12" i="23"/>
  <c r="G12" i="23"/>
  <c r="J11" i="23"/>
  <c r="G11" i="23"/>
  <c r="N11" i="23" s="1" a="1"/>
  <c r="W60" i="22" a="1"/>
  <c r="W60" i="22" s="1"/>
  <c r="T60" i="22"/>
  <c r="P60" i="22"/>
  <c r="J60" i="22" a="1"/>
  <c r="J60" i="22" s="1"/>
  <c r="I60" i="22" a="1"/>
  <c r="I60" i="22" s="1"/>
  <c r="E60" i="22"/>
  <c r="W59" i="22" a="1"/>
  <c r="W59" i="22" s="1"/>
  <c r="T59" i="22"/>
  <c r="P59" i="22"/>
  <c r="J59" i="22" a="1"/>
  <c r="J59" i="22" s="1"/>
  <c r="I59" i="22" a="1"/>
  <c r="I59" i="22" s="1"/>
  <c r="E59" i="22"/>
  <c r="W58" i="22" a="1"/>
  <c r="W58" i="22" s="1"/>
  <c r="T58" i="22"/>
  <c r="P58" i="22"/>
  <c r="J58" i="22" a="1"/>
  <c r="J58" i="22" s="1"/>
  <c r="I58" i="22" a="1"/>
  <c r="I58" i="22" s="1"/>
  <c r="E58" i="22"/>
  <c r="W57" i="22" a="1"/>
  <c r="W57" i="22" s="1"/>
  <c r="T57" i="22"/>
  <c r="P57" i="22"/>
  <c r="J57" i="22" a="1"/>
  <c r="J57" i="22" s="1"/>
  <c r="I57" i="22" a="1"/>
  <c r="I57" i="22" s="1"/>
  <c r="E57" i="22"/>
  <c r="W56" i="22" a="1"/>
  <c r="W56" i="22" s="1"/>
  <c r="T56" i="22"/>
  <c r="P56" i="22"/>
  <c r="J56" i="22" a="1"/>
  <c r="J56" i="22" s="1"/>
  <c r="I56" i="22" a="1"/>
  <c r="I56" i="22" s="1"/>
  <c r="E56" i="22"/>
  <c r="W55" i="22" a="1"/>
  <c r="W55" i="22" s="1"/>
  <c r="T55" i="22"/>
  <c r="P55" i="22"/>
  <c r="J55" i="22" a="1"/>
  <c r="J55" i="22" s="1"/>
  <c r="I55" i="22" a="1"/>
  <c r="I55" i="22" s="1"/>
  <c r="E55" i="22"/>
  <c r="W54" i="22" a="1"/>
  <c r="W54" i="22" s="1"/>
  <c r="T54" i="22"/>
  <c r="P54" i="22"/>
  <c r="J54" i="22" a="1"/>
  <c r="J54" i="22" s="1"/>
  <c r="I54" i="22" a="1"/>
  <c r="I54" i="22" s="1"/>
  <c r="E54" i="22"/>
  <c r="P53" i="22"/>
  <c r="J53" i="22" a="1"/>
  <c r="J53" i="22" s="1"/>
  <c r="I53" i="22" a="1"/>
  <c r="I53" i="22" s="1"/>
  <c r="E53" i="22"/>
  <c r="P52" i="22"/>
  <c r="J52" i="22" a="1"/>
  <c r="J52" i="22" s="1"/>
  <c r="I52" i="22" a="1"/>
  <c r="I52" i="22" s="1"/>
  <c r="E52" i="22"/>
  <c r="P51" i="22"/>
  <c r="J51" i="22" a="1"/>
  <c r="J51" i="22" s="1"/>
  <c r="I51" i="22" a="1"/>
  <c r="I51" i="22" s="1"/>
  <c r="E51" i="22"/>
  <c r="T50" i="22"/>
  <c r="P50" i="22"/>
  <c r="J50" i="22" a="1"/>
  <c r="J50" i="22" s="1"/>
  <c r="I50" i="22" a="1"/>
  <c r="I50" i="22" s="1"/>
  <c r="E50" i="22"/>
  <c r="T49" i="22"/>
  <c r="P49" i="22"/>
  <c r="J49" i="22" a="1"/>
  <c r="J49" i="22" s="1"/>
  <c r="I49" i="22" a="1"/>
  <c r="I49" i="22" s="1"/>
  <c r="E49" i="22"/>
  <c r="P48" i="22"/>
  <c r="J48" i="22" a="1"/>
  <c r="J48" i="22" s="1"/>
  <c r="I48" i="22" a="1"/>
  <c r="I48" i="22" s="1"/>
  <c r="E48" i="22"/>
  <c r="P47" i="22"/>
  <c r="J47" i="22" a="1"/>
  <c r="J47" i="22" s="1"/>
  <c r="I47" i="22" a="1"/>
  <c r="I47" i="22" s="1"/>
  <c r="E47" i="22"/>
  <c r="P46" i="22"/>
  <c r="J46" i="22" a="1"/>
  <c r="J46" i="22" s="1"/>
  <c r="I46" i="22" a="1"/>
  <c r="I46" i="22" s="1"/>
  <c r="E46" i="22"/>
  <c r="P45" i="22"/>
  <c r="J45" i="22" a="1"/>
  <c r="J45" i="22" s="1"/>
  <c r="I45" i="22" a="1"/>
  <c r="I45" i="22" s="1"/>
  <c r="E45" i="22"/>
  <c r="P44" i="22"/>
  <c r="J44" i="22" a="1"/>
  <c r="J44" i="22" s="1"/>
  <c r="I44" i="22" a="1"/>
  <c r="I44" i="22" s="1"/>
  <c r="E44" i="22"/>
  <c r="P43" i="22"/>
  <c r="J43" i="22" a="1"/>
  <c r="J43" i="22" s="1"/>
  <c r="I43" i="22" a="1"/>
  <c r="I43" i="22" s="1"/>
  <c r="E43" i="22"/>
  <c r="P42" i="22"/>
  <c r="J42" i="22" a="1"/>
  <c r="J42" i="22" s="1"/>
  <c r="I42" i="22" a="1"/>
  <c r="I42" i="22" s="1"/>
  <c r="E42" i="22"/>
  <c r="T41" i="22"/>
  <c r="P41" i="22"/>
  <c r="J41" i="22" a="1"/>
  <c r="J41" i="22" s="1"/>
  <c r="I41" i="22" a="1"/>
  <c r="I41" i="22" s="1"/>
  <c r="E41" i="22"/>
  <c r="P40" i="22"/>
  <c r="J40" i="22" a="1"/>
  <c r="J40" i="22" s="1"/>
  <c r="I40" i="22" a="1"/>
  <c r="I40" i="22" s="1"/>
  <c r="E40" i="22"/>
  <c r="P39" i="22"/>
  <c r="J39" i="22" a="1"/>
  <c r="J39" i="22" s="1"/>
  <c r="I39" i="22" a="1"/>
  <c r="I39" i="22" s="1"/>
  <c r="E39" i="22"/>
  <c r="P38" i="22"/>
  <c r="J38" i="22" a="1"/>
  <c r="J38" i="22" s="1"/>
  <c r="I38" i="22" a="1"/>
  <c r="I38" i="22" s="1"/>
  <c r="E38" i="22"/>
  <c r="P37" i="22"/>
  <c r="J37" i="22" a="1"/>
  <c r="J37" i="22" s="1"/>
  <c r="I37" i="22" a="1"/>
  <c r="I37" i="22" s="1"/>
  <c r="E37" i="22"/>
  <c r="P36" i="22"/>
  <c r="J36" i="22" a="1"/>
  <c r="J36" i="22" s="1"/>
  <c r="I36" i="22" a="1"/>
  <c r="I36" i="22" s="1"/>
  <c r="E36" i="22"/>
  <c r="P35" i="22"/>
  <c r="J35" i="22" a="1"/>
  <c r="J35" i="22" s="1"/>
  <c r="I35" i="22" a="1"/>
  <c r="I35" i="22" s="1"/>
  <c r="E35" i="22"/>
  <c r="P34" i="22"/>
  <c r="J34" i="22" a="1"/>
  <c r="J34" i="22" s="1"/>
  <c r="I34" i="22" a="1"/>
  <c r="I34" i="22" s="1"/>
  <c r="E34" i="22"/>
  <c r="P33" i="22"/>
  <c r="J33" i="22" a="1"/>
  <c r="J33" i="22" s="1"/>
  <c r="I33" i="22" a="1"/>
  <c r="I33" i="22" s="1"/>
  <c r="E33" i="22"/>
  <c r="P32" i="22"/>
  <c r="J32" i="22" a="1"/>
  <c r="J32" i="22" s="1"/>
  <c r="I32" i="22" a="1"/>
  <c r="I32" i="22" s="1"/>
  <c r="E32" i="22"/>
  <c r="P31" i="22"/>
  <c r="J31" i="22" a="1"/>
  <c r="J31" i="22" s="1"/>
  <c r="I31" i="22" a="1"/>
  <c r="I31" i="22" s="1"/>
  <c r="E31" i="22"/>
  <c r="P30" i="22"/>
  <c r="J30" i="22" a="1"/>
  <c r="J30" i="22" s="1"/>
  <c r="I30" i="22" a="1"/>
  <c r="I30" i="22" s="1"/>
  <c r="E30" i="22"/>
  <c r="P29" i="22"/>
  <c r="J29" i="22" a="1"/>
  <c r="J29" i="22" s="1"/>
  <c r="I29" i="22" a="1"/>
  <c r="I29" i="22" s="1"/>
  <c r="E29" i="22"/>
  <c r="P28" i="22"/>
  <c r="J28" i="22" a="1"/>
  <c r="J28" i="22" s="1"/>
  <c r="I28" i="22" a="1"/>
  <c r="I28" i="22" s="1"/>
  <c r="E28" i="22"/>
  <c r="P27" i="22"/>
  <c r="J27" i="22" a="1"/>
  <c r="J27" i="22" s="1"/>
  <c r="I27" i="22" a="1"/>
  <c r="I27" i="22" s="1"/>
  <c r="E27" i="22"/>
  <c r="P26" i="22"/>
  <c r="J26" i="22" a="1"/>
  <c r="J26" i="22" s="1"/>
  <c r="I26" i="22" a="1"/>
  <c r="I26" i="22" s="1"/>
  <c r="E26" i="22"/>
  <c r="P25" i="22"/>
  <c r="J25" i="22" a="1"/>
  <c r="J25" i="22" s="1"/>
  <c r="I25" i="22" a="1"/>
  <c r="I25" i="22" s="1"/>
  <c r="E25" i="22"/>
  <c r="P24" i="22"/>
  <c r="J24" i="22" a="1"/>
  <c r="J24" i="22" s="1"/>
  <c r="I24" i="22" a="1"/>
  <c r="I24" i="22" s="1"/>
  <c r="E24" i="22"/>
  <c r="P23" i="22"/>
  <c r="J23" i="22" a="1"/>
  <c r="J23" i="22" s="1"/>
  <c r="I23" i="22" a="1"/>
  <c r="I23" i="22" s="1"/>
  <c r="E23" i="22"/>
  <c r="P22" i="22"/>
  <c r="J22" i="22" a="1"/>
  <c r="J22" i="22" s="1"/>
  <c r="I22" i="22" a="1"/>
  <c r="I22" i="22" s="1"/>
  <c r="E22" i="22"/>
  <c r="P21" i="22"/>
  <c r="J21" i="22" a="1"/>
  <c r="J21" i="22" s="1"/>
  <c r="I21" i="22" a="1"/>
  <c r="I21" i="22" s="1"/>
  <c r="E21" i="22"/>
  <c r="P20" i="22"/>
  <c r="J20" i="22" a="1"/>
  <c r="J20" i="22" s="1"/>
  <c r="I20" i="22" a="1"/>
  <c r="I20" i="22" s="1"/>
  <c r="E20" i="22"/>
  <c r="P19" i="22"/>
  <c r="J19" i="22" a="1"/>
  <c r="J19" i="22" s="1"/>
  <c r="I19" i="22" a="1"/>
  <c r="I19" i="22" s="1"/>
  <c r="E19" i="22"/>
  <c r="P18" i="22"/>
  <c r="J18" i="22" a="1"/>
  <c r="J18" i="22" s="1"/>
  <c r="I18" i="22" a="1"/>
  <c r="I18" i="22" s="1"/>
  <c r="E18" i="22"/>
  <c r="P17" i="22"/>
  <c r="J17" i="22" a="1"/>
  <c r="J17" i="22" s="1"/>
  <c r="I17" i="22" a="1"/>
  <c r="I17" i="22" s="1"/>
  <c r="E17" i="22"/>
  <c r="P16" i="22"/>
  <c r="J16" i="22" a="1"/>
  <c r="J16" i="22" s="1"/>
  <c r="I16" i="22" a="1"/>
  <c r="I16" i="22" s="1"/>
  <c r="E16" i="22"/>
  <c r="P15" i="22"/>
  <c r="J15" i="22" a="1"/>
  <c r="J15" i="22" s="1"/>
  <c r="I15" i="22" a="1"/>
  <c r="I15" i="22" s="1"/>
  <c r="E15" i="22"/>
  <c r="P14" i="22"/>
  <c r="J14" i="22" a="1"/>
  <c r="J14" i="22" s="1"/>
  <c r="I14" i="22" a="1"/>
  <c r="I14" i="22" s="1"/>
  <c r="E14" i="22"/>
  <c r="P13" i="22"/>
  <c r="J13" i="22" a="1"/>
  <c r="J13" i="22" s="1"/>
  <c r="I13" i="22" a="1"/>
  <c r="I13" i="22" s="1"/>
  <c r="E13" i="22"/>
  <c r="P12" i="22"/>
  <c r="J12" i="22" a="1"/>
  <c r="J12" i="22" s="1"/>
  <c r="I12" i="22" a="1"/>
  <c r="I12" i="22" s="1"/>
  <c r="E12" i="22"/>
  <c r="P11" i="22"/>
  <c r="J11" i="22" a="1"/>
  <c r="J11" i="22" s="1"/>
  <c r="I11" i="22" a="1"/>
  <c r="I11" i="22" s="1"/>
  <c r="E11" i="22"/>
  <c r="W60" i="19" a="1"/>
  <c r="W60" i="19" s="1"/>
  <c r="V60" i="19" a="1"/>
  <c r="V60" i="19" s="1"/>
  <c r="R60" i="19"/>
  <c r="J60" i="19" a="1"/>
  <c r="J60" i="19" s="1"/>
  <c r="I60" i="19" a="1"/>
  <c r="I60" i="19" s="1"/>
  <c r="E60" i="19"/>
  <c r="W59" i="19" a="1"/>
  <c r="W59" i="19" s="1"/>
  <c r="V59" i="19" a="1"/>
  <c r="V59" i="19" s="1"/>
  <c r="R59" i="19"/>
  <c r="J59" i="19" a="1"/>
  <c r="J59" i="19" s="1"/>
  <c r="I59" i="19" a="1"/>
  <c r="I59" i="19" s="1"/>
  <c r="E59" i="19"/>
  <c r="W58" i="19" a="1"/>
  <c r="W58" i="19" s="1"/>
  <c r="V58" i="19" a="1"/>
  <c r="V58" i="19" s="1"/>
  <c r="R58" i="19"/>
  <c r="J58" i="19" a="1"/>
  <c r="J58" i="19" s="1"/>
  <c r="I58" i="19" a="1"/>
  <c r="I58" i="19" s="1"/>
  <c r="E58" i="19"/>
  <c r="W57" i="19" a="1"/>
  <c r="W57" i="19" s="1"/>
  <c r="V57" i="19" a="1"/>
  <c r="V57" i="19" s="1"/>
  <c r="R57" i="19"/>
  <c r="J57" i="19" a="1"/>
  <c r="J57" i="19" s="1"/>
  <c r="I57" i="19" a="1"/>
  <c r="I57" i="19" s="1"/>
  <c r="E57" i="19"/>
  <c r="W56" i="19" a="1"/>
  <c r="W56" i="19" s="1"/>
  <c r="V56" i="19" a="1"/>
  <c r="V56" i="19" s="1"/>
  <c r="R56" i="19"/>
  <c r="J56" i="19" a="1"/>
  <c r="J56" i="19" s="1"/>
  <c r="I56" i="19" a="1"/>
  <c r="I56" i="19" s="1"/>
  <c r="E56" i="19"/>
  <c r="W55" i="19" a="1"/>
  <c r="W55" i="19" s="1"/>
  <c r="V55" i="19" a="1"/>
  <c r="V55" i="19" s="1"/>
  <c r="R55" i="19"/>
  <c r="J55" i="19" a="1"/>
  <c r="J55" i="19" s="1"/>
  <c r="I55" i="19" a="1"/>
  <c r="I55" i="19" s="1"/>
  <c r="E55" i="19"/>
  <c r="W54" i="19" a="1"/>
  <c r="W54" i="19" s="1"/>
  <c r="V54" i="19" a="1"/>
  <c r="V54" i="19" s="1"/>
  <c r="R54" i="19"/>
  <c r="J54" i="19" a="1"/>
  <c r="J54" i="19" s="1"/>
  <c r="I54" i="19" a="1"/>
  <c r="I54" i="19" s="1"/>
  <c r="E54" i="19"/>
  <c r="W53" i="19" a="1"/>
  <c r="W53" i="19" s="1"/>
  <c r="V53" i="19" a="1"/>
  <c r="V53" i="19" s="1"/>
  <c r="J53" i="19" a="1"/>
  <c r="J53" i="19" s="1"/>
  <c r="I53" i="19" a="1"/>
  <c r="I53" i="19" s="1"/>
  <c r="E53" i="19"/>
  <c r="W52" i="19" a="1"/>
  <c r="W52" i="19" s="1"/>
  <c r="V52" i="19" a="1"/>
  <c r="V52" i="19" s="1"/>
  <c r="J52" i="19" a="1"/>
  <c r="J52" i="19" s="1"/>
  <c r="I52" i="19" a="1"/>
  <c r="I52" i="19" s="1"/>
  <c r="E52" i="19"/>
  <c r="W51" i="19" a="1"/>
  <c r="W51" i="19" s="1"/>
  <c r="V51" i="19" a="1"/>
  <c r="V51" i="19" s="1"/>
  <c r="J51" i="19" a="1"/>
  <c r="J51" i="19" s="1"/>
  <c r="I51" i="19" a="1"/>
  <c r="I51" i="19" s="1"/>
  <c r="E51" i="19"/>
  <c r="W50" i="19" a="1"/>
  <c r="W50" i="19" s="1"/>
  <c r="V50" i="19" a="1"/>
  <c r="V50" i="19" s="1"/>
  <c r="R50" i="19"/>
  <c r="J50" i="19" a="1"/>
  <c r="J50" i="19" s="1"/>
  <c r="I50" i="19" a="1"/>
  <c r="I50" i="19" s="1"/>
  <c r="E50" i="19"/>
  <c r="W49" i="19" a="1"/>
  <c r="W49" i="19" s="1"/>
  <c r="V49" i="19" a="1"/>
  <c r="V49" i="19" s="1"/>
  <c r="R49" i="19"/>
  <c r="J49" i="19" a="1"/>
  <c r="J49" i="19" s="1"/>
  <c r="I49" i="19" a="1"/>
  <c r="I49" i="19" s="1"/>
  <c r="E49" i="19"/>
  <c r="W48" i="19" a="1"/>
  <c r="W48" i="19" s="1"/>
  <c r="V48" i="19" a="1"/>
  <c r="V48" i="19" s="1"/>
  <c r="J48" i="19" a="1"/>
  <c r="J48" i="19" s="1"/>
  <c r="I48" i="19" a="1"/>
  <c r="I48" i="19" s="1"/>
  <c r="E48" i="19"/>
  <c r="W47" i="19" a="1"/>
  <c r="W47" i="19" s="1"/>
  <c r="V47" i="19" a="1"/>
  <c r="V47" i="19" s="1"/>
  <c r="J47" i="19" a="1"/>
  <c r="J47" i="19" s="1"/>
  <c r="I47" i="19" a="1"/>
  <c r="I47" i="19" s="1"/>
  <c r="E47" i="19"/>
  <c r="W46" i="19" a="1"/>
  <c r="W46" i="19" s="1"/>
  <c r="V46" i="19" a="1"/>
  <c r="V46" i="19" s="1"/>
  <c r="J46" i="19" a="1"/>
  <c r="J46" i="19" s="1"/>
  <c r="I46" i="19" a="1"/>
  <c r="I46" i="19" s="1"/>
  <c r="E46" i="19"/>
  <c r="W45" i="19" a="1"/>
  <c r="W45" i="19" s="1"/>
  <c r="V45" i="19" a="1"/>
  <c r="V45" i="19" s="1"/>
  <c r="J45" i="19" a="1"/>
  <c r="J45" i="19" s="1"/>
  <c r="I45" i="19" a="1"/>
  <c r="I45" i="19" s="1"/>
  <c r="E45" i="19"/>
  <c r="W44" i="19" a="1"/>
  <c r="W44" i="19" s="1"/>
  <c r="V44" i="19" a="1"/>
  <c r="V44" i="19" s="1"/>
  <c r="J44" i="19" a="1"/>
  <c r="J44" i="19" s="1"/>
  <c r="I44" i="19" a="1"/>
  <c r="I44" i="19" s="1"/>
  <c r="E44" i="19"/>
  <c r="W43" i="19" a="1"/>
  <c r="W43" i="19" s="1"/>
  <c r="V43" i="19" a="1"/>
  <c r="V43" i="19" s="1"/>
  <c r="J43" i="19" a="1"/>
  <c r="J43" i="19" s="1"/>
  <c r="I43" i="19" a="1"/>
  <c r="I43" i="19" s="1"/>
  <c r="E43" i="19"/>
  <c r="W42" i="19" a="1"/>
  <c r="W42" i="19" s="1"/>
  <c r="V42" i="19" a="1"/>
  <c r="V42" i="19" s="1"/>
  <c r="J42" i="19" a="1"/>
  <c r="J42" i="19" s="1"/>
  <c r="I42" i="19" a="1"/>
  <c r="I42" i="19" s="1"/>
  <c r="E42" i="19"/>
  <c r="W41" i="19" a="1"/>
  <c r="W41" i="19" s="1"/>
  <c r="V41" i="19" a="1"/>
  <c r="V41" i="19" s="1"/>
  <c r="R41" i="19"/>
  <c r="J41" i="19" a="1"/>
  <c r="J41" i="19" s="1"/>
  <c r="I41" i="19" a="1"/>
  <c r="I41" i="19" s="1"/>
  <c r="E41" i="19"/>
  <c r="W40" i="19" a="1"/>
  <c r="W40" i="19" s="1"/>
  <c r="V40" i="19" a="1"/>
  <c r="V40" i="19" s="1"/>
  <c r="J40" i="19" a="1"/>
  <c r="J40" i="19" s="1"/>
  <c r="I40" i="19" a="1"/>
  <c r="I40" i="19" s="1"/>
  <c r="E40" i="19"/>
  <c r="W39" i="19" a="1"/>
  <c r="W39" i="19" s="1"/>
  <c r="V39" i="19" a="1"/>
  <c r="V39" i="19" s="1"/>
  <c r="J39" i="19" a="1"/>
  <c r="J39" i="19" s="1"/>
  <c r="I39" i="19" a="1"/>
  <c r="I39" i="19" s="1"/>
  <c r="E39" i="19"/>
  <c r="W38" i="19" a="1"/>
  <c r="W38" i="19" s="1"/>
  <c r="V38" i="19" a="1"/>
  <c r="V38" i="19" s="1"/>
  <c r="J38" i="19" a="1"/>
  <c r="J38" i="19" s="1"/>
  <c r="I38" i="19" a="1"/>
  <c r="I38" i="19" s="1"/>
  <c r="E38" i="19"/>
  <c r="W37" i="19" a="1"/>
  <c r="W37" i="19" s="1"/>
  <c r="V37" i="19" a="1"/>
  <c r="V37" i="19" s="1"/>
  <c r="J37" i="19" a="1"/>
  <c r="J37" i="19" s="1"/>
  <c r="I37" i="19" a="1"/>
  <c r="I37" i="19" s="1"/>
  <c r="E37" i="19"/>
  <c r="W36" i="19" a="1"/>
  <c r="W36" i="19" s="1"/>
  <c r="V36" i="19" a="1"/>
  <c r="V36" i="19" s="1"/>
  <c r="J36" i="19" a="1"/>
  <c r="J36" i="19" s="1"/>
  <c r="I36" i="19" a="1"/>
  <c r="I36" i="19" s="1"/>
  <c r="E36" i="19"/>
  <c r="W35" i="19" a="1"/>
  <c r="W35" i="19" s="1"/>
  <c r="V35" i="19" a="1"/>
  <c r="V35" i="19" s="1"/>
  <c r="J35" i="19" a="1"/>
  <c r="J35" i="19" s="1"/>
  <c r="I35" i="19" a="1"/>
  <c r="I35" i="19" s="1"/>
  <c r="E35" i="19"/>
  <c r="W34" i="19" a="1"/>
  <c r="W34" i="19" s="1"/>
  <c r="V34" i="19" a="1"/>
  <c r="V34" i="19" s="1"/>
  <c r="J34" i="19" a="1"/>
  <c r="J34" i="19" s="1"/>
  <c r="I34" i="19" a="1"/>
  <c r="I34" i="19" s="1"/>
  <c r="E34" i="19"/>
  <c r="W33" i="19" a="1"/>
  <c r="W33" i="19" s="1"/>
  <c r="V33" i="19" a="1"/>
  <c r="V33" i="19" s="1"/>
  <c r="J33" i="19" a="1"/>
  <c r="J33" i="19" s="1"/>
  <c r="I33" i="19" a="1"/>
  <c r="I33" i="19" s="1"/>
  <c r="E33" i="19"/>
  <c r="W32" i="19" a="1"/>
  <c r="W32" i="19" s="1"/>
  <c r="V32" i="19" a="1"/>
  <c r="V32" i="19" s="1"/>
  <c r="J32" i="19" a="1"/>
  <c r="J32" i="19" s="1"/>
  <c r="I32" i="19" a="1"/>
  <c r="I32" i="19" s="1"/>
  <c r="E32" i="19"/>
  <c r="W31" i="19" a="1"/>
  <c r="W31" i="19" s="1"/>
  <c r="V31" i="19" a="1"/>
  <c r="V31" i="19" s="1"/>
  <c r="J31" i="19" a="1"/>
  <c r="J31" i="19" s="1"/>
  <c r="I31" i="19" a="1"/>
  <c r="I31" i="19" s="1"/>
  <c r="E31" i="19"/>
  <c r="W30" i="19" a="1"/>
  <c r="W30" i="19" s="1"/>
  <c r="V30" i="19" a="1"/>
  <c r="V30" i="19" s="1"/>
  <c r="J30" i="19" a="1"/>
  <c r="J30" i="19" s="1"/>
  <c r="I30" i="19" a="1"/>
  <c r="I30" i="19" s="1"/>
  <c r="E30" i="19"/>
  <c r="W29" i="19" a="1"/>
  <c r="W29" i="19" s="1"/>
  <c r="V29" i="19" a="1"/>
  <c r="V29" i="19" s="1"/>
  <c r="J29" i="19" a="1"/>
  <c r="J29" i="19" s="1"/>
  <c r="I29" i="19" a="1"/>
  <c r="I29" i="19" s="1"/>
  <c r="E29" i="19"/>
  <c r="W28" i="19" a="1"/>
  <c r="W28" i="19" s="1"/>
  <c r="V28" i="19" a="1"/>
  <c r="V28" i="19" s="1"/>
  <c r="J28" i="19" a="1"/>
  <c r="J28" i="19" s="1"/>
  <c r="I28" i="19" a="1"/>
  <c r="I28" i="19" s="1"/>
  <c r="E28" i="19"/>
  <c r="W27" i="19" a="1"/>
  <c r="W27" i="19" s="1"/>
  <c r="V27" i="19" a="1"/>
  <c r="V27" i="19" s="1"/>
  <c r="J27" i="19" a="1"/>
  <c r="J27" i="19" s="1"/>
  <c r="I27" i="19" a="1"/>
  <c r="I27" i="19" s="1"/>
  <c r="E27" i="19"/>
  <c r="W26" i="19" a="1"/>
  <c r="W26" i="19" s="1"/>
  <c r="V26" i="19" a="1"/>
  <c r="V26" i="19" s="1"/>
  <c r="J26" i="19" a="1"/>
  <c r="J26" i="19" s="1"/>
  <c r="I26" i="19" a="1"/>
  <c r="I26" i="19" s="1"/>
  <c r="E26" i="19"/>
  <c r="W25" i="19" a="1"/>
  <c r="W25" i="19" s="1"/>
  <c r="V25" i="19" a="1"/>
  <c r="V25" i="19" s="1"/>
  <c r="J25" i="19" a="1"/>
  <c r="J25" i="19" s="1"/>
  <c r="I25" i="19" a="1"/>
  <c r="I25" i="19" s="1"/>
  <c r="E25" i="19"/>
  <c r="W24" i="19" a="1"/>
  <c r="W24" i="19" s="1"/>
  <c r="V24" i="19" a="1"/>
  <c r="V24" i="19" s="1"/>
  <c r="J24" i="19" a="1"/>
  <c r="J24" i="19" s="1"/>
  <c r="I24" i="19" a="1"/>
  <c r="I24" i="19" s="1"/>
  <c r="E24" i="19"/>
  <c r="W23" i="19" a="1"/>
  <c r="W23" i="19" s="1"/>
  <c r="V23" i="19" a="1"/>
  <c r="V23" i="19" s="1"/>
  <c r="J23" i="19" a="1"/>
  <c r="J23" i="19" s="1"/>
  <c r="I23" i="19" a="1"/>
  <c r="I23" i="19" s="1"/>
  <c r="E23" i="19"/>
  <c r="W22" i="19" a="1"/>
  <c r="W22" i="19" s="1"/>
  <c r="V22" i="19" a="1"/>
  <c r="V22" i="19" s="1"/>
  <c r="J22" i="19" a="1"/>
  <c r="J22" i="19" s="1"/>
  <c r="I22" i="19" a="1"/>
  <c r="I22" i="19" s="1"/>
  <c r="E22" i="19"/>
  <c r="W21" i="19" a="1"/>
  <c r="W21" i="19" s="1"/>
  <c r="V21" i="19" a="1"/>
  <c r="V21" i="19" s="1"/>
  <c r="J21" i="19" a="1"/>
  <c r="J21" i="19" s="1"/>
  <c r="I21" i="19" a="1"/>
  <c r="I21" i="19" s="1"/>
  <c r="E21" i="19"/>
  <c r="W20" i="19" a="1"/>
  <c r="W20" i="19" s="1"/>
  <c r="V20" i="19" a="1"/>
  <c r="V20" i="19" s="1"/>
  <c r="J20" i="19" a="1"/>
  <c r="J20" i="19" s="1"/>
  <c r="I20" i="19" a="1"/>
  <c r="I20" i="19" s="1"/>
  <c r="E20" i="19"/>
  <c r="W19" i="19" a="1"/>
  <c r="W19" i="19" s="1"/>
  <c r="V19" i="19" a="1"/>
  <c r="V19" i="19" s="1"/>
  <c r="J19" i="19" a="1"/>
  <c r="J19" i="19" s="1"/>
  <c r="I19" i="19" a="1"/>
  <c r="I19" i="19" s="1"/>
  <c r="E19" i="19"/>
  <c r="W18" i="19" a="1"/>
  <c r="W18" i="19" s="1"/>
  <c r="V18" i="19" a="1"/>
  <c r="V18" i="19" s="1"/>
  <c r="J18" i="19" a="1"/>
  <c r="J18" i="19" s="1"/>
  <c r="I18" i="19" a="1"/>
  <c r="I18" i="19" s="1"/>
  <c r="E18" i="19"/>
  <c r="W17" i="19" a="1"/>
  <c r="W17" i="19" s="1"/>
  <c r="V17" i="19" a="1"/>
  <c r="V17" i="19" s="1"/>
  <c r="J17" i="19" a="1"/>
  <c r="J17" i="19" s="1"/>
  <c r="I17" i="19" a="1"/>
  <c r="I17" i="19" s="1"/>
  <c r="E17" i="19"/>
  <c r="W16" i="19" a="1"/>
  <c r="W16" i="19" s="1"/>
  <c r="V16" i="19" a="1"/>
  <c r="V16" i="19" s="1"/>
  <c r="J16" i="19" a="1"/>
  <c r="J16" i="19" s="1"/>
  <c r="I16" i="19" a="1"/>
  <c r="I16" i="19" s="1"/>
  <c r="E16" i="19"/>
  <c r="W15" i="19" a="1"/>
  <c r="W15" i="19" s="1"/>
  <c r="V15" i="19" a="1"/>
  <c r="V15" i="19" s="1"/>
  <c r="J15" i="19" a="1"/>
  <c r="J15" i="19" s="1"/>
  <c r="I15" i="19" a="1"/>
  <c r="I15" i="19" s="1"/>
  <c r="E15" i="19"/>
  <c r="W14" i="19" a="1"/>
  <c r="W14" i="19" s="1"/>
  <c r="V14" i="19" a="1"/>
  <c r="V14" i="19" s="1"/>
  <c r="J14" i="19" a="1"/>
  <c r="J14" i="19" s="1"/>
  <c r="I14" i="19" a="1"/>
  <c r="I14" i="19" s="1"/>
  <c r="E14" i="19"/>
  <c r="W13" i="19" a="1"/>
  <c r="W13" i="19" s="1"/>
  <c r="V13" i="19" a="1"/>
  <c r="V13" i="19" s="1"/>
  <c r="J13" i="19" a="1"/>
  <c r="J13" i="19" s="1"/>
  <c r="I13" i="19" a="1"/>
  <c r="I13" i="19" s="1"/>
  <c r="E13" i="19"/>
  <c r="W12" i="19" a="1"/>
  <c r="W12" i="19" s="1"/>
  <c r="V12" i="19" a="1"/>
  <c r="V12" i="19" s="1"/>
  <c r="J12" i="19" a="1"/>
  <c r="J12" i="19" s="1"/>
  <c r="I12" i="19" a="1"/>
  <c r="I12" i="19" s="1"/>
  <c r="E12" i="19"/>
  <c r="W11" i="19" a="1"/>
  <c r="W11" i="19" s="1"/>
  <c r="V11" i="19" a="1"/>
  <c r="V11" i="19" s="1"/>
  <c r="J11" i="19" a="1"/>
  <c r="J11" i="19" s="1"/>
  <c r="I11" i="19" a="1"/>
  <c r="I11" i="19" s="1"/>
  <c r="E11" i="19"/>
  <c r="H42" i="2" a="1"/>
  <c r="H42" i="2" s="1"/>
  <c r="D42" i="8" s="1"/>
  <c r="M41" i="6"/>
  <c r="M49" i="6"/>
  <c r="M50" i="6"/>
  <c r="M54" i="6"/>
  <c r="M55" i="6"/>
  <c r="M56" i="6"/>
  <c r="M57" i="6"/>
  <c r="M58" i="6"/>
  <c r="M59" i="6"/>
  <c r="M60" i="6"/>
  <c r="E50" i="6"/>
  <c r="E12" i="6"/>
  <c r="E11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1" i="6"/>
  <c r="E52" i="6"/>
  <c r="E53" i="6"/>
  <c r="E54" i="6"/>
  <c r="E55" i="6"/>
  <c r="E56" i="6"/>
  <c r="E57" i="6"/>
  <c r="E58" i="6"/>
  <c r="E59" i="6"/>
  <c r="E60" i="6"/>
  <c r="D11" i="2" a="1"/>
  <c r="D11" i="2" s="1"/>
  <c r="F16" i="2"/>
  <c r="D12" i="2" a="1"/>
  <c r="D12" i="2" s="1"/>
  <c r="D13" i="2" a="1"/>
  <c r="D13" i="2" s="1"/>
  <c r="C13" i="8" s="1"/>
  <c r="D14" i="2" a="1"/>
  <c r="D14" i="2" s="1"/>
  <c r="D15" i="2" a="1"/>
  <c r="D15" i="2" s="1"/>
  <c r="E15" i="2" s="1" a="1"/>
  <c r="E15" i="2" s="1"/>
  <c r="D16" i="2" a="1"/>
  <c r="D16" i="2" s="1"/>
  <c r="E16" i="2" s="1" a="1"/>
  <c r="E16" i="2" s="1"/>
  <c r="D17" i="2" a="1"/>
  <c r="D17" i="2" s="1"/>
  <c r="D18" i="2" a="1"/>
  <c r="D18" i="2" s="1"/>
  <c r="E18" i="2" s="1" a="1"/>
  <c r="E18" i="2" s="1"/>
  <c r="D19" i="2" a="1"/>
  <c r="D19" i="2" s="1"/>
  <c r="D20" i="2" a="1"/>
  <c r="D20" i="2" s="1"/>
  <c r="C20" i="8" s="1"/>
  <c r="D21" i="2" a="1"/>
  <c r="D21" i="2" s="1"/>
  <c r="D22" i="2" a="1"/>
  <c r="D22" i="2" s="1"/>
  <c r="D23" i="2" a="1"/>
  <c r="D23" i="2" s="1"/>
  <c r="E23" i="2" s="1" a="1"/>
  <c r="E23" i="2" s="1"/>
  <c r="D24" i="2" a="1"/>
  <c r="D24" i="2" s="1"/>
  <c r="E24" i="2" s="1" a="1"/>
  <c r="E24" i="2" s="1"/>
  <c r="D25" i="2" a="1"/>
  <c r="D25" i="2" s="1"/>
  <c r="D26" i="2" a="1"/>
  <c r="D26" i="2" s="1"/>
  <c r="E26" i="2" s="1" a="1"/>
  <c r="E26" i="2" s="1"/>
  <c r="D27" i="2" a="1"/>
  <c r="D27" i="2" s="1"/>
  <c r="D28" i="2" a="1"/>
  <c r="D28" i="2"/>
  <c r="D29" i="2" a="1"/>
  <c r="D29" i="2" s="1"/>
  <c r="D30" i="2" a="1"/>
  <c r="D30" i="2" s="1"/>
  <c r="D31" i="2" a="1"/>
  <c r="D31" i="2" s="1"/>
  <c r="D32" i="2" a="1"/>
  <c r="D32" i="2" s="1"/>
  <c r="E32" i="2" s="1" a="1"/>
  <c r="E32" i="2" s="1"/>
  <c r="D33" i="2" a="1"/>
  <c r="D33" i="2" s="1"/>
  <c r="D34" i="2" a="1"/>
  <c r="D34" i="2" s="1"/>
  <c r="D35" i="2" a="1"/>
  <c r="D35" i="2" s="1"/>
  <c r="C35" i="8" s="1"/>
  <c r="D36" i="2" a="1"/>
  <c r="D36" i="2" s="1"/>
  <c r="C36" i="8" s="1"/>
  <c r="D37" i="2" a="1"/>
  <c r="D37" i="2" s="1"/>
  <c r="C37" i="8" s="1"/>
  <c r="D38" i="2" a="1"/>
  <c r="D38" i="2" s="1"/>
  <c r="E38" i="2" s="1" a="1"/>
  <c r="E38" i="2" s="1"/>
  <c r="D39" i="2" a="1"/>
  <c r="D39" i="2" s="1"/>
  <c r="D40" i="2" a="1"/>
  <c r="D40" i="2" s="1"/>
  <c r="E40" i="2" s="1" a="1"/>
  <c r="E40" i="2" s="1"/>
  <c r="D41" i="2" a="1"/>
  <c r="D41" i="2" s="1"/>
  <c r="C41" i="8" s="1"/>
  <c r="D42" i="2" a="1"/>
  <c r="D42" i="2" s="1"/>
  <c r="C42" i="8" s="1"/>
  <c r="D43" i="2" a="1"/>
  <c r="D43" i="2" s="1"/>
  <c r="C43" i="8" s="1"/>
  <c r="D44" i="2" a="1"/>
  <c r="D44" i="2" s="1"/>
  <c r="E44" i="2" s="1" a="1"/>
  <c r="E44" i="2" s="1"/>
  <c r="D45" i="2" a="1"/>
  <c r="D45" i="2" s="1"/>
  <c r="D46" i="2" a="1"/>
  <c r="D46" i="2"/>
  <c r="E46" i="2" s="1" a="1"/>
  <c r="E46" i="2" s="1"/>
  <c r="D47" i="2" a="1"/>
  <c r="D47" i="2" s="1"/>
  <c r="E47" i="2" s="1" a="1"/>
  <c r="E47" i="2" s="1"/>
  <c r="D48" i="2" a="1"/>
  <c r="D48" i="2" s="1"/>
  <c r="D49" i="2" a="1"/>
  <c r="D49" i="2" s="1"/>
  <c r="C49" i="10" s="1"/>
  <c r="D50" i="2" a="1"/>
  <c r="D50" i="2" s="1"/>
  <c r="E50" i="2" s="1" a="1"/>
  <c r="E50" i="2" s="1"/>
  <c r="D51" i="2" a="1"/>
  <c r="D51" i="2" s="1"/>
  <c r="D52" i="2" a="1"/>
  <c r="D52" i="2" s="1"/>
  <c r="D53" i="2" a="1"/>
  <c r="D53" i="2" s="1"/>
  <c r="E53" i="2" s="1" a="1"/>
  <c r="E53" i="2" s="1"/>
  <c r="D54" i="2" a="1"/>
  <c r="D54" i="2" s="1"/>
  <c r="C54" i="8" s="1"/>
  <c r="D55" i="2" a="1"/>
  <c r="D55" i="2" s="1"/>
  <c r="C55" i="8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C60" i="8" s="1"/>
  <c r="D61" i="2" a="1"/>
  <c r="D61" i="2" s="1"/>
  <c r="C61" i="8" s="1"/>
  <c r="D62" i="2" a="1"/>
  <c r="D62" i="2" s="1"/>
  <c r="E62" i="2" s="1" a="1"/>
  <c r="E62" i="2" s="1"/>
  <c r="D63" i="2" a="1"/>
  <c r="D63" i="2" s="1"/>
  <c r="C63" i="8" s="1"/>
  <c r="D64" i="2" a="1"/>
  <c r="D64" i="2" s="1"/>
  <c r="E64" i="2" s="1" a="1"/>
  <c r="E64" i="2" s="1"/>
  <c r="D65" i="2" a="1"/>
  <c r="D65" i="2" s="1"/>
  <c r="E65" i="2" s="1" a="1"/>
  <c r="E65" i="2" s="1"/>
  <c r="D66" i="2" a="1"/>
  <c r="D66" i="2" s="1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32" i="2"/>
  <c r="H11" i="2" a="1"/>
  <c r="H11" i="2" s="1"/>
  <c r="D11" i="10" s="1"/>
  <c r="H12" i="2" a="1"/>
  <c r="H12" i="2" s="1"/>
  <c r="D12" i="8" s="1"/>
  <c r="H13" i="2" a="1"/>
  <c r="H13" i="2" s="1"/>
  <c r="H14" i="2" a="1"/>
  <c r="H14" i="2" s="1"/>
  <c r="G14" i="2" s="1" a="1"/>
  <c r="G14" i="2" s="1"/>
  <c r="T14" i="32" s="1"/>
  <c r="H15" i="2" a="1"/>
  <c r="H15" i="2" s="1"/>
  <c r="H16" i="2" a="1"/>
  <c r="H16" i="2"/>
  <c r="D16" i="10" s="1"/>
  <c r="H17" i="2" a="1"/>
  <c r="H17" i="2" s="1"/>
  <c r="G17" i="2" s="1" a="1"/>
  <c r="G17" i="2" s="1"/>
  <c r="T17" i="32" s="1"/>
  <c r="H18" i="2" a="1"/>
  <c r="H18" i="2" s="1"/>
  <c r="H19" i="2" a="1"/>
  <c r="H19" i="2" s="1"/>
  <c r="H20" i="2" a="1"/>
  <c r="H20" i="2" s="1"/>
  <c r="H21" i="2" a="1"/>
  <c r="H21" i="2" s="1"/>
  <c r="G21" i="2" s="1" a="1"/>
  <c r="G21" i="2" s="1"/>
  <c r="T21" i="32" s="1"/>
  <c r="H22" i="2" a="1"/>
  <c r="H22" i="2" s="1"/>
  <c r="H23" i="2" a="1"/>
  <c r="H23" i="2" s="1"/>
  <c r="G23" i="2" s="1" a="1"/>
  <c r="G23" i="2" s="1"/>
  <c r="T23" i="32" s="1"/>
  <c r="H24" i="2" a="1"/>
  <c r="H24" i="2" s="1"/>
  <c r="H25" i="2" a="1"/>
  <c r="H25" i="2" s="1"/>
  <c r="G25" i="2" s="1" a="1"/>
  <c r="G25" i="2" s="1"/>
  <c r="T25" i="32" s="1"/>
  <c r="H26" i="2" a="1"/>
  <c r="H26" i="2" s="1"/>
  <c r="G26" i="2" s="1" a="1"/>
  <c r="G26" i="2" s="1"/>
  <c r="T26" i="32" s="1"/>
  <c r="H27" i="2" a="1"/>
  <c r="H27" i="2" s="1"/>
  <c r="H28" i="2" a="1"/>
  <c r="H28" i="2" s="1"/>
  <c r="H29" i="2" a="1"/>
  <c r="H29" i="2" s="1"/>
  <c r="H30" i="2" a="1"/>
  <c r="H30" i="2" s="1"/>
  <c r="D30" i="10" s="1"/>
  <c r="H31" i="2" a="1"/>
  <c r="H31" i="2" s="1"/>
  <c r="D31" i="10" s="1"/>
  <c r="H32" i="2" a="1"/>
  <c r="H32" i="2" s="1"/>
  <c r="D32" i="10" s="1"/>
  <c r="H33" i="2" a="1"/>
  <c r="H33" i="2" s="1"/>
  <c r="D33" i="10" s="1"/>
  <c r="H34" i="2" a="1"/>
  <c r="H34" i="2" s="1"/>
  <c r="D34" i="10" s="1"/>
  <c r="H35" i="2" a="1"/>
  <c r="H35" i="2" s="1"/>
  <c r="H36" i="2" a="1"/>
  <c r="H36" i="2" s="1"/>
  <c r="H37" i="2" a="1"/>
  <c r="H37" i="2" s="1"/>
  <c r="G37" i="2" s="1" a="1"/>
  <c r="G37" i="2" s="1"/>
  <c r="H38" i="2" a="1"/>
  <c r="H38" i="2" s="1"/>
  <c r="H39" i="2" a="1"/>
  <c r="H39" i="2" s="1"/>
  <c r="H40" i="2" a="1"/>
  <c r="H40" i="2" s="1"/>
  <c r="H41" i="2" a="1"/>
  <c r="H41" i="2" s="1"/>
  <c r="D41" i="8" s="1"/>
  <c r="H43" i="2" a="1"/>
  <c r="H43" i="2" s="1"/>
  <c r="H44" i="2" a="1"/>
  <c r="H44" i="2"/>
  <c r="D44" i="8" s="1"/>
  <c r="H45" i="2" a="1"/>
  <c r="H45" i="2" s="1"/>
  <c r="G45" i="2" s="1" a="1"/>
  <c r="G45" i="2" s="1"/>
  <c r="H46" i="2" a="1"/>
  <c r="H46" i="2" s="1"/>
  <c r="H47" i="2" a="1"/>
  <c r="H47" i="2" s="1"/>
  <c r="D47" i="8" s="1"/>
  <c r="H48" i="2" a="1"/>
  <c r="H48" i="2" s="1"/>
  <c r="G48" i="2" s="1" a="1"/>
  <c r="G48" i="2" s="1"/>
  <c r="H49" i="2" a="1"/>
  <c r="H49" i="2" s="1"/>
  <c r="H50" i="2" a="1"/>
  <c r="H50" i="2" s="1"/>
  <c r="D50" i="8" s="1"/>
  <c r="H51" i="2" a="1"/>
  <c r="H51" i="2" s="1"/>
  <c r="G51" i="2" s="1" a="1"/>
  <c r="G51" i="2" s="1"/>
  <c r="H52" i="2" a="1"/>
  <c r="H52" i="2" s="1"/>
  <c r="H53" i="2" a="1"/>
  <c r="H53" i="2" s="1"/>
  <c r="D53" i="8" s="1"/>
  <c r="H54" i="2" a="1"/>
  <c r="H54" i="2" s="1"/>
  <c r="D54" i="8" s="1"/>
  <c r="H55" i="2" a="1"/>
  <c r="H55" i="2" s="1"/>
  <c r="H56" i="2" a="1"/>
  <c r="H56" i="2"/>
  <c r="H57" i="2" a="1"/>
  <c r="H57" i="2" s="1"/>
  <c r="D57" i="8" s="1"/>
  <c r="H58" i="2" a="1"/>
  <c r="H58" i="2"/>
  <c r="D58" i="10" s="1"/>
  <c r="H59" i="2" a="1"/>
  <c r="H59" i="2" s="1"/>
  <c r="H60" i="2" a="1"/>
  <c r="H60" i="2" s="1"/>
  <c r="G60" i="2" s="1" a="1"/>
  <c r="G60" i="2" s="1"/>
  <c r="H61" i="2" a="1"/>
  <c r="H61" i="2" s="1"/>
  <c r="G61" i="2" s="1" a="1"/>
  <c r="G61" i="2" s="1"/>
  <c r="H62" i="2" a="1"/>
  <c r="H62" i="2" s="1"/>
  <c r="D62" i="8" s="1"/>
  <c r="H63" i="2" a="1"/>
  <c r="H63" i="2" s="1"/>
  <c r="H64" i="2" a="1"/>
  <c r="H64" i="2" s="1"/>
  <c r="H65" i="2" a="1"/>
  <c r="H65" i="2" s="1"/>
  <c r="D65" i="8" s="1"/>
  <c r="H66" i="2" a="1"/>
  <c r="H66" i="2" s="1"/>
  <c r="G66" i="2" s="1" a="1"/>
  <c r="G66" i="2" s="1"/>
  <c r="F11" i="2"/>
  <c r="A11" i="8" a="1"/>
  <c r="A11" i="8" s="1"/>
  <c r="B11" i="8" s="1"/>
  <c r="G20" i="2" a="1"/>
  <c r="G20" i="2" s="1"/>
  <c r="T20" i="32" s="1"/>
  <c r="G63" i="2" a="1"/>
  <c r="G63" i="2" s="1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N66" i="12"/>
  <c r="I66" i="12"/>
  <c r="C66" i="12"/>
  <c r="N65" i="12"/>
  <c r="I65" i="12"/>
  <c r="C65" i="12"/>
  <c r="N64" i="12"/>
  <c r="I64" i="12"/>
  <c r="C64" i="12"/>
  <c r="N63" i="12"/>
  <c r="I63" i="12"/>
  <c r="C63" i="12"/>
  <c r="N62" i="12"/>
  <c r="I62" i="12"/>
  <c r="C62" i="12"/>
  <c r="N61" i="12"/>
  <c r="I61" i="12"/>
  <c r="C61" i="12"/>
  <c r="N60" i="12"/>
  <c r="I60" i="12"/>
  <c r="C60" i="12"/>
  <c r="N59" i="12"/>
  <c r="I59" i="12"/>
  <c r="C59" i="12"/>
  <c r="N58" i="12"/>
  <c r="I58" i="12"/>
  <c r="C58" i="12"/>
  <c r="N57" i="12"/>
  <c r="I57" i="12"/>
  <c r="C57" i="12"/>
  <c r="N56" i="12"/>
  <c r="I56" i="12"/>
  <c r="C56" i="12"/>
  <c r="N55" i="12"/>
  <c r="I55" i="12"/>
  <c r="C55" i="12"/>
  <c r="N54" i="12"/>
  <c r="I54" i="12"/>
  <c r="C54" i="12"/>
  <c r="N53" i="12"/>
  <c r="I53" i="12"/>
  <c r="C53" i="12"/>
  <c r="N52" i="12"/>
  <c r="I52" i="12"/>
  <c r="C52" i="12"/>
  <c r="N51" i="12"/>
  <c r="I51" i="12"/>
  <c r="C51" i="12"/>
  <c r="N50" i="12"/>
  <c r="I50" i="12"/>
  <c r="C50" i="12"/>
  <c r="N49" i="12"/>
  <c r="I49" i="12"/>
  <c r="C49" i="12"/>
  <c r="N48" i="12"/>
  <c r="I48" i="12"/>
  <c r="C48" i="12"/>
  <c r="N47" i="12"/>
  <c r="I47" i="12"/>
  <c r="C47" i="12"/>
  <c r="N46" i="12"/>
  <c r="I46" i="12"/>
  <c r="C46" i="12"/>
  <c r="N45" i="12"/>
  <c r="I45" i="12"/>
  <c r="C45" i="12"/>
  <c r="N44" i="12"/>
  <c r="I44" i="12"/>
  <c r="C44" i="12"/>
  <c r="N43" i="12"/>
  <c r="I43" i="12"/>
  <c r="C43" i="12"/>
  <c r="N42" i="12"/>
  <c r="I42" i="12"/>
  <c r="C42" i="12"/>
  <c r="N41" i="12"/>
  <c r="I41" i="12"/>
  <c r="C41" i="12"/>
  <c r="N40" i="12"/>
  <c r="I40" i="12"/>
  <c r="C40" i="12"/>
  <c r="N39" i="12"/>
  <c r="I39" i="12"/>
  <c r="C39" i="12"/>
  <c r="N38" i="12"/>
  <c r="I38" i="12"/>
  <c r="C38" i="12"/>
  <c r="N37" i="12"/>
  <c r="I37" i="12"/>
  <c r="C37" i="12"/>
  <c r="N36" i="12"/>
  <c r="I36" i="12"/>
  <c r="C36" i="12"/>
  <c r="N35" i="12"/>
  <c r="I35" i="12"/>
  <c r="C35" i="12"/>
  <c r="N34" i="12"/>
  <c r="I34" i="12"/>
  <c r="C34" i="12"/>
  <c r="N33" i="12"/>
  <c r="I33" i="12"/>
  <c r="C33" i="12"/>
  <c r="N32" i="12"/>
  <c r="I32" i="12"/>
  <c r="C32" i="12"/>
  <c r="N31" i="12"/>
  <c r="I31" i="12"/>
  <c r="C31" i="12"/>
  <c r="N30" i="12"/>
  <c r="I30" i="12"/>
  <c r="C30" i="12"/>
  <c r="N29" i="12"/>
  <c r="I29" i="12"/>
  <c r="C29" i="12"/>
  <c r="N28" i="12"/>
  <c r="I28" i="12"/>
  <c r="C28" i="12"/>
  <c r="N27" i="12"/>
  <c r="I27" i="12"/>
  <c r="C27" i="12"/>
  <c r="N26" i="12"/>
  <c r="I26" i="12"/>
  <c r="C26" i="12"/>
  <c r="N25" i="12"/>
  <c r="I25" i="12"/>
  <c r="C25" i="12"/>
  <c r="N24" i="12"/>
  <c r="I24" i="12"/>
  <c r="C24" i="12"/>
  <c r="N23" i="12"/>
  <c r="I23" i="12"/>
  <c r="C23" i="12"/>
  <c r="N22" i="12"/>
  <c r="I22" i="12"/>
  <c r="C22" i="12"/>
  <c r="N21" i="12"/>
  <c r="I21" i="12"/>
  <c r="C21" i="12"/>
  <c r="N20" i="12"/>
  <c r="I20" i="12"/>
  <c r="C20" i="12"/>
  <c r="N19" i="12"/>
  <c r="I19" i="12"/>
  <c r="C19" i="12"/>
  <c r="N18" i="12"/>
  <c r="I18" i="12"/>
  <c r="C18" i="12"/>
  <c r="N17" i="12"/>
  <c r="I17" i="12"/>
  <c r="C17" i="12"/>
  <c r="N16" i="12"/>
  <c r="I16" i="12"/>
  <c r="C16" i="12"/>
  <c r="N15" i="12"/>
  <c r="I15" i="12"/>
  <c r="C15" i="12"/>
  <c r="N14" i="12"/>
  <c r="I14" i="12"/>
  <c r="C14" i="12"/>
  <c r="N13" i="12"/>
  <c r="I13" i="12"/>
  <c r="C13" i="12"/>
  <c r="N12" i="12"/>
  <c r="I12" i="12"/>
  <c r="C12" i="12"/>
  <c r="N11" i="12"/>
  <c r="I11" i="12"/>
  <c r="C11" i="12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E11" i="10"/>
  <c r="E66" i="10"/>
  <c r="D66" i="10"/>
  <c r="A66" i="10" a="1"/>
  <c r="A66" i="10" s="1"/>
  <c r="B66" i="10" s="1"/>
  <c r="E65" i="10"/>
  <c r="C65" i="10"/>
  <c r="A65" i="10" a="1"/>
  <c r="A65" i="10" s="1"/>
  <c r="B65" i="10" s="1"/>
  <c r="E64" i="10"/>
  <c r="C64" i="10"/>
  <c r="A64" i="10" a="1"/>
  <c r="A64" i="10" s="1"/>
  <c r="B64" i="10" s="1"/>
  <c r="E63" i="10"/>
  <c r="D63" i="10"/>
  <c r="A63" i="10" a="1"/>
  <c r="A63" i="10" s="1"/>
  <c r="B63" i="10" s="1"/>
  <c r="E62" i="10"/>
  <c r="C62" i="10"/>
  <c r="A62" i="10" a="1"/>
  <c r="A62" i="10" s="1"/>
  <c r="B62" i="10" s="1"/>
  <c r="E61" i="10"/>
  <c r="D61" i="10"/>
  <c r="A61" i="10" a="1"/>
  <c r="A61" i="10" s="1"/>
  <c r="B61" i="10" s="1"/>
  <c r="E60" i="10"/>
  <c r="D60" i="10"/>
  <c r="A60" i="10" a="1"/>
  <c r="A60" i="10" s="1"/>
  <c r="B60" i="10" s="1"/>
  <c r="E59" i="10"/>
  <c r="A59" i="10" a="1"/>
  <c r="A59" i="10" s="1"/>
  <c r="B59" i="10" s="1"/>
  <c r="E58" i="10"/>
  <c r="A58" i="10" a="1"/>
  <c r="A58" i="10" s="1"/>
  <c r="B58" i="10" s="1"/>
  <c r="E57" i="10"/>
  <c r="A57" i="10" a="1"/>
  <c r="A57" i="10" s="1"/>
  <c r="B57" i="10" s="1"/>
  <c r="E56" i="10"/>
  <c r="A56" i="10" a="1"/>
  <c r="A56" i="10" s="1"/>
  <c r="B56" i="10" s="1"/>
  <c r="E55" i="10"/>
  <c r="A55" i="10" a="1"/>
  <c r="A55" i="10" s="1"/>
  <c r="B55" i="10" s="1"/>
  <c r="E54" i="10"/>
  <c r="A54" i="10" a="1"/>
  <c r="A54" i="10" s="1"/>
  <c r="B54" i="10" s="1"/>
  <c r="E53" i="10"/>
  <c r="C53" i="10"/>
  <c r="A53" i="10" a="1"/>
  <c r="A53" i="10" s="1"/>
  <c r="B53" i="10" s="1"/>
  <c r="E52" i="10"/>
  <c r="A52" i="10" a="1"/>
  <c r="A52" i="10" s="1"/>
  <c r="B52" i="10" s="1"/>
  <c r="E51" i="10"/>
  <c r="D51" i="10"/>
  <c r="A51" i="10" a="1"/>
  <c r="A51" i="10" s="1"/>
  <c r="B51" i="10" s="1"/>
  <c r="E50" i="10"/>
  <c r="C50" i="10"/>
  <c r="A50" i="10" a="1"/>
  <c r="A50" i="10" s="1"/>
  <c r="B50" i="10" s="1"/>
  <c r="E49" i="10"/>
  <c r="A49" i="10" a="1"/>
  <c r="A49" i="10" s="1"/>
  <c r="B49" i="10" s="1"/>
  <c r="E48" i="10"/>
  <c r="D48" i="10"/>
  <c r="A48" i="10" a="1"/>
  <c r="A48" i="10" s="1"/>
  <c r="B48" i="10" s="1"/>
  <c r="E47" i="10"/>
  <c r="C47" i="10"/>
  <c r="A47" i="10" a="1"/>
  <c r="A47" i="10" s="1"/>
  <c r="B47" i="10" s="1"/>
  <c r="E46" i="10"/>
  <c r="A46" i="10" a="1"/>
  <c r="A46" i="10" s="1"/>
  <c r="B46" i="10" s="1"/>
  <c r="E45" i="10"/>
  <c r="D45" i="10"/>
  <c r="A45" i="10" a="1"/>
  <c r="A45" i="10" s="1"/>
  <c r="B45" i="10" s="1"/>
  <c r="E44" i="10"/>
  <c r="A44" i="10" a="1"/>
  <c r="A44" i="10" s="1"/>
  <c r="B44" i="10" s="1"/>
  <c r="E43" i="10"/>
  <c r="A43" i="10" a="1"/>
  <c r="A43" i="10" s="1"/>
  <c r="B43" i="10" s="1"/>
  <c r="E42" i="10"/>
  <c r="A42" i="10" a="1"/>
  <c r="A42" i="10" s="1"/>
  <c r="B42" i="10" s="1"/>
  <c r="E41" i="10"/>
  <c r="A41" i="10" a="1"/>
  <c r="A41" i="10" s="1"/>
  <c r="B41" i="10" s="1"/>
  <c r="E40" i="10"/>
  <c r="C40" i="10"/>
  <c r="A40" i="10" a="1"/>
  <c r="A40" i="10" s="1"/>
  <c r="B40" i="10" s="1"/>
  <c r="E39" i="10"/>
  <c r="D39" i="10"/>
  <c r="A39" i="10" a="1"/>
  <c r="A39" i="10" s="1"/>
  <c r="B39" i="10" s="1"/>
  <c r="E38" i="10"/>
  <c r="A38" i="10" a="1"/>
  <c r="A38" i="10" s="1"/>
  <c r="B38" i="10" s="1"/>
  <c r="E37" i="10"/>
  <c r="D37" i="10"/>
  <c r="A37" i="10" a="1"/>
  <c r="A37" i="10" s="1"/>
  <c r="B37" i="10" s="1"/>
  <c r="E36" i="10"/>
  <c r="A36" i="10" a="1"/>
  <c r="A36" i="10" s="1"/>
  <c r="B36" i="10" s="1"/>
  <c r="E35" i="10"/>
  <c r="A35" i="10" a="1"/>
  <c r="A35" i="10" s="1"/>
  <c r="B35" i="10" s="1"/>
  <c r="E34" i="10"/>
  <c r="A34" i="10" a="1"/>
  <c r="A34" i="10" s="1"/>
  <c r="B34" i="10" s="1"/>
  <c r="E33" i="10"/>
  <c r="A33" i="10" a="1"/>
  <c r="A33" i="10" s="1"/>
  <c r="B33" i="10" s="1"/>
  <c r="E32" i="10"/>
  <c r="C32" i="10"/>
  <c r="A32" i="10" a="1"/>
  <c r="A32" i="10" s="1"/>
  <c r="B32" i="10" s="1"/>
  <c r="E31" i="10"/>
  <c r="A31" i="10" a="1"/>
  <c r="A31" i="10" s="1"/>
  <c r="B31" i="10" s="1"/>
  <c r="E30" i="10"/>
  <c r="A30" i="10" a="1"/>
  <c r="A30" i="10" s="1"/>
  <c r="B30" i="10" s="1"/>
  <c r="E29" i="10"/>
  <c r="C29" i="10"/>
  <c r="A29" i="10" a="1"/>
  <c r="A29" i="10" s="1"/>
  <c r="B29" i="10" s="1"/>
  <c r="E28" i="10"/>
  <c r="A28" i="10" a="1"/>
  <c r="A28" i="10" s="1"/>
  <c r="B28" i="10" s="1"/>
  <c r="E27" i="10"/>
  <c r="A27" i="10" a="1"/>
  <c r="A27" i="10" s="1"/>
  <c r="B27" i="10" s="1"/>
  <c r="E26" i="10"/>
  <c r="D26" i="10"/>
  <c r="A26" i="10" a="1"/>
  <c r="A26" i="10" s="1"/>
  <c r="B26" i="10" s="1"/>
  <c r="E25" i="10"/>
  <c r="A25" i="10" a="1"/>
  <c r="A25" i="10" s="1"/>
  <c r="B25" i="10" s="1"/>
  <c r="E24" i="10"/>
  <c r="C24" i="10"/>
  <c r="A24" i="10" a="1"/>
  <c r="A24" i="10" s="1"/>
  <c r="B24" i="10" s="1"/>
  <c r="E23" i="10"/>
  <c r="D23" i="10"/>
  <c r="A23" i="10" a="1"/>
  <c r="A23" i="10" s="1"/>
  <c r="B23" i="10" s="1"/>
  <c r="E22" i="10"/>
  <c r="C22" i="10"/>
  <c r="A22" i="10" a="1"/>
  <c r="A22" i="10" s="1"/>
  <c r="B22" i="10" s="1"/>
  <c r="E21" i="10"/>
  <c r="D21" i="10"/>
  <c r="A21" i="10" a="1"/>
  <c r="A21" i="10" s="1"/>
  <c r="B21" i="10" s="1"/>
  <c r="E20" i="10"/>
  <c r="D20" i="10"/>
  <c r="A20" i="10" a="1"/>
  <c r="A20" i="10" s="1"/>
  <c r="B20" i="10" s="1"/>
  <c r="E19" i="10"/>
  <c r="A19" i="10" a="1"/>
  <c r="A19" i="10" s="1"/>
  <c r="B19" i="10" s="1"/>
  <c r="E18" i="10"/>
  <c r="C18" i="10"/>
  <c r="A18" i="10" a="1"/>
  <c r="A18" i="10" s="1"/>
  <c r="B18" i="10" s="1"/>
  <c r="E17" i="10"/>
  <c r="A17" i="10" a="1"/>
  <c r="A17" i="10" s="1"/>
  <c r="B17" i="10" s="1"/>
  <c r="E16" i="10"/>
  <c r="C16" i="10"/>
  <c r="A16" i="10" a="1"/>
  <c r="A16" i="10" s="1"/>
  <c r="B16" i="10" s="1"/>
  <c r="E15" i="10"/>
  <c r="D15" i="10"/>
  <c r="C15" i="10"/>
  <c r="A15" i="10" a="1"/>
  <c r="A15" i="10" s="1"/>
  <c r="B15" i="10" s="1"/>
  <c r="E14" i="10"/>
  <c r="A14" i="10" a="1"/>
  <c r="A14" i="10" s="1"/>
  <c r="B14" i="10" s="1"/>
  <c r="E13" i="10"/>
  <c r="A13" i="10" a="1"/>
  <c r="A13" i="10" s="1"/>
  <c r="B13" i="10" s="1"/>
  <c r="E12" i="10"/>
  <c r="A12" i="10" a="1"/>
  <c r="A12" i="10" s="1"/>
  <c r="B12" i="10" s="1"/>
  <c r="A11" i="10" a="1"/>
  <c r="A11" i="10" s="1"/>
  <c r="B11" i="10" s="1"/>
  <c r="A12" i="8" a="1"/>
  <c r="A12" i="8"/>
  <c r="B12" i="8" s="1"/>
  <c r="A13" i="8" a="1"/>
  <c r="A13" i="8" s="1"/>
  <c r="B13" i="8" s="1"/>
  <c r="A14" i="8" a="1"/>
  <c r="A14" i="8"/>
  <c r="B14" i="8" s="1"/>
  <c r="A15" i="8" a="1"/>
  <c r="A15" i="8" s="1"/>
  <c r="B15" i="8" s="1"/>
  <c r="A16" i="8" a="1"/>
  <c r="A16" i="8" s="1"/>
  <c r="B16" i="8" s="1"/>
  <c r="A17" i="8" a="1"/>
  <c r="A17" i="8" s="1"/>
  <c r="B17" i="8" s="1"/>
  <c r="A18" i="8" a="1"/>
  <c r="A18" i="8"/>
  <c r="B18" i="8" s="1"/>
  <c r="A19" i="8" a="1"/>
  <c r="A19" i="8" s="1"/>
  <c r="B19" i="8" s="1"/>
  <c r="A20" i="8" a="1"/>
  <c r="A20" i="8"/>
  <c r="B20" i="8" s="1"/>
  <c r="A21" i="8" a="1"/>
  <c r="A21" i="8" s="1"/>
  <c r="B21" i="8" s="1"/>
  <c r="A22" i="8" a="1"/>
  <c r="A22" i="8" s="1"/>
  <c r="B22" i="8" s="1"/>
  <c r="A23" i="8" a="1"/>
  <c r="A23" i="8" s="1"/>
  <c r="B23" i="8" s="1"/>
  <c r="A24" i="8" a="1"/>
  <c r="A24" i="8" s="1"/>
  <c r="B24" i="8" s="1"/>
  <c r="A25" i="8" a="1"/>
  <c r="A25" i="8" s="1"/>
  <c r="B25" i="8" s="1"/>
  <c r="A26" i="8" a="1"/>
  <c r="A26" i="8" s="1"/>
  <c r="B26" i="8" s="1"/>
  <c r="A27" i="8" a="1"/>
  <c r="A27" i="8" s="1"/>
  <c r="B27" i="8" s="1"/>
  <c r="A28" i="8" a="1"/>
  <c r="A28" i="8" s="1"/>
  <c r="B28" i="8" s="1"/>
  <c r="A29" i="8" a="1"/>
  <c r="A29" i="8" s="1"/>
  <c r="B29" i="8" s="1"/>
  <c r="A30" i="8" a="1"/>
  <c r="A30" i="8" s="1"/>
  <c r="B30" i="8" s="1"/>
  <c r="A31" i="8" a="1"/>
  <c r="A31" i="8" s="1"/>
  <c r="B31" i="8" s="1"/>
  <c r="A32" i="8" a="1"/>
  <c r="A32" i="8" s="1"/>
  <c r="B32" i="8" s="1"/>
  <c r="A33" i="8" a="1"/>
  <c r="A33" i="8" s="1"/>
  <c r="B33" i="8" s="1"/>
  <c r="A34" i="8" a="1"/>
  <c r="A34" i="8" s="1"/>
  <c r="B34" i="8" s="1"/>
  <c r="A35" i="8" a="1"/>
  <c r="A35" i="8" s="1"/>
  <c r="B35" i="8" s="1"/>
  <c r="A36" i="8" a="1"/>
  <c r="A36" i="8" s="1"/>
  <c r="B36" i="8" s="1"/>
  <c r="A37" i="8" a="1"/>
  <c r="A37" i="8" s="1"/>
  <c r="B37" i="8" s="1"/>
  <c r="A38" i="8" a="1"/>
  <c r="A38" i="8" s="1"/>
  <c r="B38" i="8" s="1"/>
  <c r="A39" i="8" a="1"/>
  <c r="A39" i="8" s="1"/>
  <c r="B39" i="8" s="1"/>
  <c r="A40" i="8" a="1"/>
  <c r="A40" i="8" s="1"/>
  <c r="B40" i="8" s="1"/>
  <c r="A41" i="8" a="1"/>
  <c r="A41" i="8" s="1"/>
  <c r="B41" i="8" s="1"/>
  <c r="A42" i="8" a="1"/>
  <c r="A42" i="8" s="1"/>
  <c r="B42" i="8" s="1"/>
  <c r="A43" i="8" a="1"/>
  <c r="A43" i="8" s="1"/>
  <c r="B43" i="8" s="1"/>
  <c r="A44" i="8" a="1"/>
  <c r="A44" i="8"/>
  <c r="B44" i="8" s="1"/>
  <c r="A45" i="8" a="1"/>
  <c r="A45" i="8" s="1"/>
  <c r="B45" i="8" s="1"/>
  <c r="A46" i="8" a="1"/>
  <c r="A46" i="8"/>
  <c r="B46" i="8" s="1"/>
  <c r="A47" i="8" a="1"/>
  <c r="A47" i="8" s="1"/>
  <c r="B47" i="8" s="1"/>
  <c r="A48" i="8" a="1"/>
  <c r="A48" i="8" s="1"/>
  <c r="B48" i="8" s="1"/>
  <c r="A49" i="8" a="1"/>
  <c r="A49" i="8" s="1"/>
  <c r="B49" i="8" s="1"/>
  <c r="A50" i="8" a="1"/>
  <c r="A50" i="8" s="1"/>
  <c r="B50" i="8" s="1"/>
  <c r="A51" i="8" a="1"/>
  <c r="A51" i="8" s="1"/>
  <c r="B51" i="8" s="1"/>
  <c r="A52" i="8" a="1"/>
  <c r="A52" i="8" s="1"/>
  <c r="B52" i="8" s="1"/>
  <c r="A53" i="8" a="1"/>
  <c r="A53" i="8"/>
  <c r="B53" i="8" s="1"/>
  <c r="A54" i="8" a="1"/>
  <c r="A54" i="8" s="1"/>
  <c r="B54" i="8" s="1"/>
  <c r="A55" i="8" a="1"/>
  <c r="A55" i="8"/>
  <c r="B55" i="8" s="1"/>
  <c r="A56" i="8" a="1"/>
  <c r="A56" i="8" s="1"/>
  <c r="B56" i="8" s="1"/>
  <c r="A57" i="8" a="1"/>
  <c r="A57" i="8" s="1"/>
  <c r="B57" i="8" s="1"/>
  <c r="A58" i="8" a="1"/>
  <c r="A58" i="8" s="1"/>
  <c r="B58" i="8" s="1"/>
  <c r="A59" i="8" a="1"/>
  <c r="A59" i="8" s="1"/>
  <c r="B59" i="8" s="1"/>
  <c r="A60" i="8" a="1"/>
  <c r="A60" i="8" s="1"/>
  <c r="B60" i="8" s="1"/>
  <c r="A61" i="8" a="1"/>
  <c r="A61" i="8" s="1"/>
  <c r="B61" i="8" s="1"/>
  <c r="A62" i="8" a="1"/>
  <c r="A62" i="8" s="1"/>
  <c r="B62" i="8" s="1"/>
  <c r="A63" i="8" a="1"/>
  <c r="A63" i="8" s="1"/>
  <c r="B63" i="8" s="1"/>
  <c r="A64" i="8" a="1"/>
  <c r="A64" i="8" s="1"/>
  <c r="B64" i="8" s="1"/>
  <c r="A65" i="8" a="1"/>
  <c r="A65" i="8" s="1"/>
  <c r="B65" i="8" s="1"/>
  <c r="A66" i="8" a="1"/>
  <c r="A66" i="8" s="1"/>
  <c r="B66" i="8" s="1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D13" i="8"/>
  <c r="D17" i="8"/>
  <c r="D20" i="8"/>
  <c r="D23" i="8"/>
  <c r="D25" i="8"/>
  <c r="D31" i="8"/>
  <c r="D32" i="8"/>
  <c r="D37" i="8"/>
  <c r="D38" i="8"/>
  <c r="D51" i="8"/>
  <c r="D56" i="8"/>
  <c r="D59" i="8"/>
  <c r="D60" i="8"/>
  <c r="D63" i="8"/>
  <c r="D66" i="8"/>
  <c r="C15" i="8"/>
  <c r="C16" i="8"/>
  <c r="C18" i="8"/>
  <c r="C23" i="8"/>
  <c r="C24" i="8"/>
  <c r="C29" i="8"/>
  <c r="C32" i="8"/>
  <c r="C40" i="8"/>
  <c r="C45" i="8"/>
  <c r="C46" i="8"/>
  <c r="C47" i="8"/>
  <c r="C50" i="8"/>
  <c r="C51" i="8"/>
  <c r="C53" i="8"/>
  <c r="C56" i="8"/>
  <c r="C64" i="8"/>
  <c r="C65" i="8"/>
  <c r="F12" i="2"/>
  <c r="F13" i="2"/>
  <c r="F14" i="2"/>
  <c r="F15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N14" i="8" a="1"/>
  <c r="N17" i="8" a="1"/>
  <c r="N20" i="8" a="1"/>
  <c r="N23" i="8" a="1"/>
  <c r="N26" i="8" a="1"/>
  <c r="N29" i="8" a="1"/>
  <c r="N32" i="8" a="1"/>
  <c r="N35" i="8" a="1"/>
  <c r="M15" i="8" a="1"/>
  <c r="M18" i="8" a="1"/>
  <c r="M21" i="8" a="1"/>
  <c r="M24" i="8" a="1"/>
  <c r="M27" i="8" a="1"/>
  <c r="M30" i="8" a="1"/>
  <c r="M33" i="8" a="1"/>
  <c r="M36" i="8" a="1"/>
  <c r="N36" i="10" a="1"/>
  <c r="N35" i="10" a="1"/>
  <c r="N34" i="10" a="1"/>
  <c r="N33" i="10" a="1"/>
  <c r="N32" i="10" a="1"/>
  <c r="N31" i="10" a="1"/>
  <c r="N30" i="10" a="1"/>
  <c r="N29" i="10" a="1"/>
  <c r="N28" i="10" a="1"/>
  <c r="N27" i="10" a="1"/>
  <c r="N26" i="10" a="1"/>
  <c r="N25" i="10" a="1"/>
  <c r="N24" i="10" a="1"/>
  <c r="N23" i="10" a="1"/>
  <c r="N22" i="10" a="1"/>
  <c r="N21" i="10" a="1"/>
  <c r="N20" i="10" a="1"/>
  <c r="N19" i="10" a="1"/>
  <c r="N18" i="10" a="1"/>
  <c r="N17" i="10" a="1"/>
  <c r="N16" i="10" a="1"/>
  <c r="N15" i="10" a="1"/>
  <c r="N14" i="10" a="1"/>
  <c r="N16" i="8" a="1"/>
  <c r="N18" i="8" a="1"/>
  <c r="N25" i="8" a="1"/>
  <c r="N27" i="8" a="1"/>
  <c r="N34" i="8" a="1"/>
  <c r="N36" i="8" a="1"/>
  <c r="M20" i="8" a="1"/>
  <c r="M22" i="8" a="1"/>
  <c r="M29" i="8" a="1"/>
  <c r="M31" i="8" a="1"/>
  <c r="N19" i="8" a="1"/>
  <c r="N21" i="8" a="1"/>
  <c r="N28" i="8" a="1"/>
  <c r="N30" i="8" a="1"/>
  <c r="M14" i="8" a="1"/>
  <c r="M16" i="8" a="1"/>
  <c r="M23" i="8" a="1"/>
  <c r="M25" i="8" a="1"/>
  <c r="M32" i="8" a="1"/>
  <c r="M34" i="8" a="1"/>
  <c r="O36" i="10" a="1"/>
  <c r="O35" i="10" a="1"/>
  <c r="O34" i="10" a="1"/>
  <c r="O33" i="10" a="1"/>
  <c r="O32" i="10" a="1"/>
  <c r="O31" i="10" a="1"/>
  <c r="O30" i="10" a="1"/>
  <c r="O29" i="10" a="1"/>
  <c r="O28" i="10" a="1"/>
  <c r="O27" i="10" a="1"/>
  <c r="O26" i="10" a="1"/>
  <c r="O25" i="10" a="1"/>
  <c r="O24" i="10" a="1"/>
  <c r="O23" i="10" a="1"/>
  <c r="O22" i="10" a="1"/>
  <c r="O21" i="10" a="1"/>
  <c r="O20" i="10" a="1"/>
  <c r="O19" i="10" a="1"/>
  <c r="O18" i="10" a="1"/>
  <c r="O17" i="10" a="1"/>
  <c r="O16" i="10" a="1"/>
  <c r="O15" i="10" a="1"/>
  <c r="O14" i="10" a="1"/>
  <c r="N15" i="8" a="1"/>
  <c r="N22" i="8" a="1"/>
  <c r="N24" i="8" a="1"/>
  <c r="N31" i="8" a="1"/>
  <c r="N33" i="8" a="1"/>
  <c r="M17" i="8" a="1"/>
  <c r="M19" i="8" a="1"/>
  <c r="M26" i="8" a="1"/>
  <c r="M28" i="8" a="1"/>
  <c r="M35" i="8" a="1"/>
  <c r="H11" i="16" l="1"/>
  <c r="H12" i="16"/>
  <c r="H13" i="16"/>
  <c r="H14" i="16"/>
  <c r="H15" i="16"/>
  <c r="H16" i="16"/>
  <c r="H17" i="16"/>
  <c r="H18" i="16"/>
  <c r="H19" i="16"/>
  <c r="K15" i="16"/>
  <c r="K16" i="16"/>
  <c r="K18" i="16"/>
  <c r="K19" i="16"/>
  <c r="J15" i="16"/>
  <c r="G15" i="16" s="1"/>
  <c r="J16" i="16"/>
  <c r="G16" i="16" s="1"/>
  <c r="J18" i="16"/>
  <c r="G18" i="16" s="1"/>
  <c r="J19" i="16"/>
  <c r="G19" i="16" s="1"/>
  <c r="G12" i="16"/>
  <c r="G14" i="16"/>
  <c r="G17" i="16"/>
  <c r="I11" i="16"/>
  <c r="I12" i="16"/>
  <c r="I13" i="16"/>
  <c r="I14" i="16"/>
  <c r="I15" i="16"/>
  <c r="I16" i="16"/>
  <c r="I17" i="16"/>
  <c r="I18" i="16"/>
  <c r="I19" i="16"/>
  <c r="G11" i="16"/>
  <c r="G13" i="16"/>
  <c r="E17" i="25" a="1"/>
  <c r="E17" i="25" s="1"/>
  <c r="A26" i="25" s="1" a="1"/>
  <c r="A26" i="25" s="1"/>
  <c r="E19" i="25" a="1"/>
  <c r="E19" i="25" s="1"/>
  <c r="E18" i="25" a="1"/>
  <c r="E18" i="25" s="1"/>
  <c r="A27" i="25" s="1" a="1"/>
  <c r="A27" i="25" s="1"/>
  <c r="J30" i="25" a="1"/>
  <c r="J30" i="25" s="1"/>
  <c r="J30" i="39" a="1"/>
  <c r="J30" i="39" s="1"/>
  <c r="B11" i="39"/>
  <c r="X32" i="39"/>
  <c r="X33" i="39" s="1"/>
  <c r="W32" i="39"/>
  <c r="W33" i="39" s="1"/>
  <c r="V32" i="39"/>
  <c r="V33" i="39" s="1"/>
  <c r="U32" i="39"/>
  <c r="U33" i="39" s="1"/>
  <c r="T32" i="39"/>
  <c r="S32" i="39"/>
  <c r="S33" i="39" s="1"/>
  <c r="R32" i="39"/>
  <c r="Q32" i="39"/>
  <c r="P32" i="39"/>
  <c r="O32" i="39"/>
  <c r="N32" i="39"/>
  <c r="M32" i="39"/>
  <c r="L32" i="39"/>
  <c r="K32" i="39"/>
  <c r="J32" i="39"/>
  <c r="I32" i="39"/>
  <c r="H32" i="39"/>
  <c r="G32" i="39"/>
  <c r="F32" i="39"/>
  <c r="B32" i="39"/>
  <c r="H11" i="39"/>
  <c r="G11" i="39"/>
  <c r="F11" i="39"/>
  <c r="E11" i="39"/>
  <c r="Y32" i="39"/>
  <c r="T56" i="18" a="1"/>
  <c r="T56" i="18" s="1"/>
  <c r="U56" i="18" a="1"/>
  <c r="U56" i="18" s="1"/>
  <c r="V56" i="18"/>
  <c r="T55" i="18" a="1"/>
  <c r="T55" i="18" s="1"/>
  <c r="U55" i="18" a="1"/>
  <c r="U55" i="18" s="1"/>
  <c r="V55" i="18"/>
  <c r="T54" i="18" a="1"/>
  <c r="T54" i="18" s="1"/>
  <c r="U54" i="18" a="1"/>
  <c r="U54" i="18" s="1"/>
  <c r="V54" i="18"/>
  <c r="F18" i="25" a="1"/>
  <c r="F18" i="25" s="1"/>
  <c r="N54" i="18" a="1"/>
  <c r="N54" i="18" s="1"/>
  <c r="O54" i="18" a="1"/>
  <c r="O54" i="18" s="1"/>
  <c r="T53" i="18" a="1"/>
  <c r="T53" i="18" s="1"/>
  <c r="U53" i="18" a="1"/>
  <c r="U53" i="18" s="1"/>
  <c r="Q29" i="25"/>
  <c r="T29" i="25"/>
  <c r="R29" i="25"/>
  <c r="U29" i="25"/>
  <c r="V29" i="25"/>
  <c r="W29" i="25"/>
  <c r="X29" i="25"/>
  <c r="S29" i="25"/>
  <c r="D31" i="30" a="1"/>
  <c r="D31" i="30" s="1"/>
  <c r="D32" i="30" a="1"/>
  <c r="D32" i="30" s="1"/>
  <c r="D33" i="30" a="1"/>
  <c r="D33" i="30" s="1"/>
  <c r="D34" i="30" a="1"/>
  <c r="D34" i="30" s="1"/>
  <c r="D35" i="30" a="1"/>
  <c r="D35" i="30" s="1"/>
  <c r="F17" i="25" a="1"/>
  <c r="F17" i="25" s="1"/>
  <c r="T35" i="18" a="1"/>
  <c r="T35" i="18" s="1"/>
  <c r="T36" i="18" a="1"/>
  <c r="T36" i="18" s="1"/>
  <c r="T37" i="18" a="1"/>
  <c r="T37" i="18" s="1"/>
  <c r="T38" i="18" a="1"/>
  <c r="T38" i="18" s="1"/>
  <c r="T39" i="18" a="1"/>
  <c r="T39" i="18" s="1"/>
  <c r="T40" i="18" a="1"/>
  <c r="T40" i="18" s="1"/>
  <c r="T41" i="18" a="1"/>
  <c r="T41" i="18" s="1"/>
  <c r="T42" i="18" a="1"/>
  <c r="T42" i="18" s="1"/>
  <c r="T43" i="18" a="1"/>
  <c r="T43" i="18" s="1"/>
  <c r="T44" i="18" a="1"/>
  <c r="T44" i="18" s="1"/>
  <c r="T45" i="18" a="1"/>
  <c r="T45" i="18" s="1"/>
  <c r="T46" i="18" a="1"/>
  <c r="T46" i="18" s="1"/>
  <c r="T47" i="18" a="1"/>
  <c r="T47" i="18" s="1"/>
  <c r="T48" i="18" a="1"/>
  <c r="T48" i="18" s="1"/>
  <c r="T49" i="18" a="1"/>
  <c r="T49" i="18" s="1"/>
  <c r="T50" i="18" a="1"/>
  <c r="T50" i="18" s="1"/>
  <c r="T51" i="18" a="1"/>
  <c r="T51" i="18" s="1"/>
  <c r="T52" i="18" a="1"/>
  <c r="T52" i="18" s="1"/>
  <c r="U35" i="18" a="1"/>
  <c r="U35" i="18" s="1"/>
  <c r="U36" i="18" a="1"/>
  <c r="U36" i="18" s="1"/>
  <c r="U37" i="18" a="1"/>
  <c r="U37" i="18" s="1"/>
  <c r="U38" i="18" a="1"/>
  <c r="U38" i="18" s="1"/>
  <c r="U39" i="18" a="1"/>
  <c r="U39" i="18" s="1"/>
  <c r="U40" i="18" a="1"/>
  <c r="U40" i="18" s="1"/>
  <c r="U41" i="18" a="1"/>
  <c r="U41" i="18" s="1"/>
  <c r="U42" i="18" a="1"/>
  <c r="U42" i="18" s="1"/>
  <c r="U43" i="18" a="1"/>
  <c r="U43" i="18" s="1"/>
  <c r="U44" i="18" a="1"/>
  <c r="U44" i="18" s="1"/>
  <c r="U45" i="18" a="1"/>
  <c r="U45" i="18" s="1"/>
  <c r="U46" i="18" a="1"/>
  <c r="U46" i="18" s="1"/>
  <c r="U47" i="18" a="1"/>
  <c r="U47" i="18" s="1"/>
  <c r="U48" i="18" a="1"/>
  <c r="U48" i="18" s="1"/>
  <c r="U49" i="18" a="1"/>
  <c r="U49" i="18" s="1"/>
  <c r="U50" i="18" a="1"/>
  <c r="U50" i="18" s="1"/>
  <c r="U51" i="18" a="1"/>
  <c r="U51" i="18" s="1"/>
  <c r="U52" i="18" a="1"/>
  <c r="U52" i="18" s="1"/>
  <c r="N46" i="18" a="1"/>
  <c r="N46" i="18" s="1"/>
  <c r="N47" i="18" a="1"/>
  <c r="N47" i="18" s="1"/>
  <c r="N48" i="18" a="1"/>
  <c r="N48" i="18" s="1"/>
  <c r="N49" i="18" a="1"/>
  <c r="N49" i="18" s="1"/>
  <c r="N50" i="18" a="1"/>
  <c r="N50" i="18" s="1"/>
  <c r="N51" i="18" a="1"/>
  <c r="N51" i="18" s="1"/>
  <c r="N52" i="18" a="1"/>
  <c r="N52" i="18" s="1"/>
  <c r="N53" i="18" a="1"/>
  <c r="N53" i="18" s="1"/>
  <c r="O46" i="18" a="1"/>
  <c r="O46" i="18" s="1"/>
  <c r="O47" i="18" a="1"/>
  <c r="O47" i="18" s="1"/>
  <c r="O48" i="18" a="1"/>
  <c r="O48" i="18" s="1"/>
  <c r="O49" i="18" a="1"/>
  <c r="O49" i="18" s="1"/>
  <c r="O50" i="18" a="1"/>
  <c r="O50" i="18" s="1"/>
  <c r="O51" i="18" a="1"/>
  <c r="O51" i="18" s="1"/>
  <c r="O52" i="18" a="1"/>
  <c r="O52" i="18" s="1"/>
  <c r="O53" i="18" a="1"/>
  <c r="O53" i="18" s="1"/>
  <c r="U11" i="18" a="1"/>
  <c r="U11" i="18" s="1"/>
  <c r="T12" i="18" a="1"/>
  <c r="T12" i="18" s="1"/>
  <c r="O11" i="18" a="1"/>
  <c r="O11" i="18" s="1"/>
  <c r="O12" i="18" a="1"/>
  <c r="O12" i="18" s="1"/>
  <c r="O13" i="18" a="1"/>
  <c r="O13" i="18" s="1"/>
  <c r="O14" i="18" a="1"/>
  <c r="O14" i="18" s="1"/>
  <c r="O15" i="18" a="1"/>
  <c r="O15" i="18" s="1"/>
  <c r="O16" i="18" a="1"/>
  <c r="O16" i="18" s="1"/>
  <c r="O17" i="18" a="1"/>
  <c r="O17" i="18" s="1"/>
  <c r="O18" i="18" a="1"/>
  <c r="O18" i="18" s="1"/>
  <c r="O19" i="18" a="1"/>
  <c r="O19" i="18" s="1"/>
  <c r="O20" i="18" a="1"/>
  <c r="O20" i="18" s="1"/>
  <c r="O21" i="18" a="1"/>
  <c r="O21" i="18" s="1"/>
  <c r="O22" i="18" a="1"/>
  <c r="O22" i="18" s="1"/>
  <c r="O23" i="18" a="1"/>
  <c r="O23" i="18" s="1"/>
  <c r="O24" i="18" a="1"/>
  <c r="O24" i="18" s="1"/>
  <c r="O25" i="18" a="1"/>
  <c r="O25" i="18" s="1"/>
  <c r="O26" i="18" a="1"/>
  <c r="O26" i="18" s="1"/>
  <c r="O27" i="18" a="1"/>
  <c r="O27" i="18" s="1"/>
  <c r="O28" i="18" a="1"/>
  <c r="O28" i="18" s="1"/>
  <c r="O29" i="18" a="1"/>
  <c r="O29" i="18" s="1"/>
  <c r="O30" i="18" a="1"/>
  <c r="O30" i="18" s="1"/>
  <c r="O31" i="18" a="1"/>
  <c r="O31" i="18" s="1"/>
  <c r="O32" i="18" a="1"/>
  <c r="O32" i="18" s="1"/>
  <c r="O33" i="18" a="1"/>
  <c r="O33" i="18" s="1"/>
  <c r="O34" i="18" a="1"/>
  <c r="O34" i="18" s="1"/>
  <c r="O35" i="18" a="1"/>
  <c r="O35" i="18" s="1"/>
  <c r="O36" i="18" a="1"/>
  <c r="O36" i="18" s="1"/>
  <c r="O37" i="18" a="1"/>
  <c r="O37" i="18" s="1"/>
  <c r="O38" i="18" a="1"/>
  <c r="O38" i="18" s="1"/>
  <c r="O39" i="18" a="1"/>
  <c r="O39" i="18" s="1"/>
  <c r="O40" i="18" a="1"/>
  <c r="O40" i="18" s="1"/>
  <c r="O41" i="18" a="1"/>
  <c r="O41" i="18" s="1"/>
  <c r="O42" i="18" a="1"/>
  <c r="O42" i="18" s="1"/>
  <c r="O43" i="18" a="1"/>
  <c r="O43" i="18" s="1"/>
  <c r="O44" i="18" a="1"/>
  <c r="O44" i="18" s="1"/>
  <c r="O45" i="18" a="1"/>
  <c r="O45" i="18" s="1"/>
  <c r="N12" i="18" a="1"/>
  <c r="N12" i="18" s="1"/>
  <c r="P12" i="18" s="1"/>
  <c r="N13" i="18" a="1"/>
  <c r="N13" i="18" s="1"/>
  <c r="P13" i="18" s="1"/>
  <c r="N14" i="18" a="1"/>
  <c r="N14" i="18" s="1"/>
  <c r="P14" i="18" s="1"/>
  <c r="N15" i="18" a="1"/>
  <c r="N15" i="18" s="1"/>
  <c r="P15" i="18" s="1"/>
  <c r="N16" i="18" a="1"/>
  <c r="N16" i="18" s="1"/>
  <c r="P16" i="18" s="1"/>
  <c r="N17" i="18" a="1"/>
  <c r="N17" i="18" s="1"/>
  <c r="P17" i="18" s="1"/>
  <c r="N18" i="18" a="1"/>
  <c r="N18" i="18" s="1"/>
  <c r="P18" i="18" s="1"/>
  <c r="N19" i="18" a="1"/>
  <c r="N19" i="18" s="1"/>
  <c r="P19" i="18" s="1"/>
  <c r="N20" i="18" a="1"/>
  <c r="N20" i="18" s="1"/>
  <c r="P20" i="18" s="1"/>
  <c r="N21" i="18" a="1"/>
  <c r="N21" i="18" s="1"/>
  <c r="P21" i="18" s="1"/>
  <c r="N22" i="18" a="1"/>
  <c r="N22" i="18" s="1"/>
  <c r="P22" i="18" s="1"/>
  <c r="N23" i="18" a="1"/>
  <c r="N23" i="18" s="1"/>
  <c r="P23" i="18" s="1"/>
  <c r="N24" i="18" a="1"/>
  <c r="N24" i="18" s="1"/>
  <c r="P24" i="18" s="1"/>
  <c r="N25" i="18" a="1"/>
  <c r="N25" i="18" s="1"/>
  <c r="P25" i="18" s="1"/>
  <c r="N26" i="18" a="1"/>
  <c r="N26" i="18" s="1"/>
  <c r="P26" i="18" s="1"/>
  <c r="N27" i="18" a="1"/>
  <c r="N27" i="18" s="1"/>
  <c r="P27" i="18" s="1"/>
  <c r="N28" i="18" a="1"/>
  <c r="N28" i="18" s="1"/>
  <c r="P28" i="18" s="1"/>
  <c r="N29" i="18" a="1"/>
  <c r="N29" i="18" s="1"/>
  <c r="P29" i="18" s="1"/>
  <c r="N30" i="18" a="1"/>
  <c r="N30" i="18" s="1"/>
  <c r="P30" i="18" s="1"/>
  <c r="N31" i="18" a="1"/>
  <c r="N31" i="18" s="1"/>
  <c r="P31" i="18" s="1"/>
  <c r="N32" i="18" a="1"/>
  <c r="N32" i="18" s="1"/>
  <c r="P32" i="18" s="1"/>
  <c r="N33" i="18" a="1"/>
  <c r="N33" i="18" s="1"/>
  <c r="P33" i="18" s="1"/>
  <c r="N34" i="18" a="1"/>
  <c r="N34" i="18" s="1"/>
  <c r="P34" i="18" s="1"/>
  <c r="N35" i="18" a="1"/>
  <c r="N35" i="18" s="1"/>
  <c r="P35" i="18" s="1"/>
  <c r="N36" i="18" a="1"/>
  <c r="N36" i="18" s="1"/>
  <c r="P36" i="18" s="1"/>
  <c r="N37" i="18" a="1"/>
  <c r="N37" i="18" s="1"/>
  <c r="P37" i="18" s="1"/>
  <c r="N38" i="18" a="1"/>
  <c r="N38" i="18" s="1"/>
  <c r="P38" i="18" s="1"/>
  <c r="N39" i="18" a="1"/>
  <c r="N39" i="18" s="1"/>
  <c r="P39" i="18" s="1"/>
  <c r="N40" i="18" a="1"/>
  <c r="N40" i="18" s="1"/>
  <c r="P40" i="18" s="1"/>
  <c r="N41" i="18" a="1"/>
  <c r="N41" i="18" s="1"/>
  <c r="P41" i="18" s="1"/>
  <c r="N42" i="18" a="1"/>
  <c r="N42" i="18" s="1"/>
  <c r="P42" i="18" s="1"/>
  <c r="N43" i="18" a="1"/>
  <c r="N43" i="18" s="1"/>
  <c r="P43" i="18" s="1"/>
  <c r="N44" i="18" a="1"/>
  <c r="N44" i="18" s="1"/>
  <c r="P44" i="18" s="1"/>
  <c r="N45" i="18" a="1"/>
  <c r="N45" i="18" s="1"/>
  <c r="P45" i="18" s="1"/>
  <c r="U17" i="18" a="1"/>
  <c r="U17" i="18" s="1"/>
  <c r="U18" i="18" a="1"/>
  <c r="U18" i="18" s="1"/>
  <c r="U19" i="18" a="1"/>
  <c r="U19" i="18" s="1"/>
  <c r="U20" i="18" a="1"/>
  <c r="U20" i="18" s="1"/>
  <c r="U21" i="18" a="1"/>
  <c r="U21" i="18" s="1"/>
  <c r="U22" i="18" a="1"/>
  <c r="U22" i="18" s="1"/>
  <c r="U23" i="18" a="1"/>
  <c r="U23" i="18" s="1"/>
  <c r="U24" i="18" a="1"/>
  <c r="U24" i="18" s="1"/>
  <c r="U25" i="18" a="1"/>
  <c r="U25" i="18" s="1"/>
  <c r="U26" i="18" a="1"/>
  <c r="U26" i="18" s="1"/>
  <c r="U27" i="18" a="1"/>
  <c r="U27" i="18" s="1"/>
  <c r="U28" i="18" a="1"/>
  <c r="U28" i="18" s="1"/>
  <c r="U29" i="18" a="1"/>
  <c r="U29" i="18" s="1"/>
  <c r="U30" i="18" a="1"/>
  <c r="U30" i="18" s="1"/>
  <c r="U31" i="18" a="1"/>
  <c r="U31" i="18" s="1"/>
  <c r="U32" i="18" a="1"/>
  <c r="U32" i="18" s="1"/>
  <c r="U33" i="18" a="1"/>
  <c r="U33" i="18" s="1"/>
  <c r="U34" i="18" a="1"/>
  <c r="U34" i="18" s="1"/>
  <c r="T17" i="18" a="1"/>
  <c r="T17" i="18" s="1"/>
  <c r="V17" i="18" s="1"/>
  <c r="T18" i="18" a="1"/>
  <c r="T18" i="18" s="1"/>
  <c r="V18" i="18" s="1"/>
  <c r="T19" i="18" a="1"/>
  <c r="T19" i="18" s="1"/>
  <c r="V19" i="18" s="1"/>
  <c r="T20" i="18" a="1"/>
  <c r="T20" i="18" s="1"/>
  <c r="V20" i="18" s="1"/>
  <c r="T21" i="18" a="1"/>
  <c r="T21" i="18" s="1"/>
  <c r="V21" i="18" s="1"/>
  <c r="T22" i="18" a="1"/>
  <c r="T22" i="18" s="1"/>
  <c r="V22" i="18" s="1"/>
  <c r="T23" i="18" a="1"/>
  <c r="T23" i="18" s="1"/>
  <c r="V23" i="18" s="1"/>
  <c r="T24" i="18" a="1"/>
  <c r="T24" i="18" s="1"/>
  <c r="V24" i="18" s="1"/>
  <c r="T25" i="18" a="1"/>
  <c r="T25" i="18" s="1"/>
  <c r="V25" i="18" s="1"/>
  <c r="T26" i="18" a="1"/>
  <c r="T26" i="18" s="1"/>
  <c r="V26" i="18" s="1"/>
  <c r="T27" i="18" a="1"/>
  <c r="T27" i="18" s="1"/>
  <c r="V27" i="18" s="1"/>
  <c r="T28" i="18" a="1"/>
  <c r="T28" i="18" s="1"/>
  <c r="V28" i="18" s="1"/>
  <c r="T29" i="18" a="1"/>
  <c r="T29" i="18" s="1"/>
  <c r="V29" i="18" s="1"/>
  <c r="T30" i="18" a="1"/>
  <c r="T30" i="18" s="1"/>
  <c r="V30" i="18" s="1"/>
  <c r="T31" i="18" a="1"/>
  <c r="T31" i="18" s="1"/>
  <c r="V31" i="18" s="1"/>
  <c r="T32" i="18" a="1"/>
  <c r="T32" i="18" s="1"/>
  <c r="V32" i="18" s="1"/>
  <c r="T33" i="18" a="1"/>
  <c r="T33" i="18" s="1"/>
  <c r="V33" i="18" s="1"/>
  <c r="T34" i="18" a="1"/>
  <c r="T34" i="18" s="1"/>
  <c r="V34" i="18" s="1"/>
  <c r="T44" i="32"/>
  <c r="R16" i="33" a="1"/>
  <c r="R16" i="33" s="1"/>
  <c r="Q16" i="33" a="1"/>
  <c r="Q16" i="33" s="1"/>
  <c r="R15" i="33" a="1"/>
  <c r="R15" i="33" s="1"/>
  <c r="Q15" i="33" a="1"/>
  <c r="Q15" i="33" s="1"/>
  <c r="R14" i="33" a="1"/>
  <c r="R14" i="33" s="1"/>
  <c r="Q14" i="33" a="1"/>
  <c r="Q14" i="33" s="1"/>
  <c r="R13" i="33" a="1"/>
  <c r="R13" i="33" s="1"/>
  <c r="Q13" i="33" a="1"/>
  <c r="Q13" i="33" s="1"/>
  <c r="R12" i="33" a="1"/>
  <c r="R12" i="33" s="1"/>
  <c r="Q12" i="33" a="1"/>
  <c r="Q12" i="33" s="1"/>
  <c r="R11" i="33" a="1"/>
  <c r="R11" i="33" s="1"/>
  <c r="O11" i="33"/>
  <c r="Q11" i="33" s="1" a="1"/>
  <c r="Q11" i="33" s="1"/>
  <c r="T17" i="33"/>
  <c r="S17" i="33"/>
  <c r="T18" i="33"/>
  <c r="S18" i="33"/>
  <c r="T19" i="33"/>
  <c r="S19" i="33"/>
  <c r="T20" i="33"/>
  <c r="S20" i="33"/>
  <c r="T21" i="33"/>
  <c r="S21" i="33"/>
  <c r="T22" i="33"/>
  <c r="S22" i="33"/>
  <c r="T23" i="33"/>
  <c r="S23" i="33"/>
  <c r="T24" i="33"/>
  <c r="S24" i="33"/>
  <c r="T25" i="33"/>
  <c r="S25" i="33"/>
  <c r="T26" i="33"/>
  <c r="S26" i="33"/>
  <c r="T27" i="33"/>
  <c r="S27" i="33"/>
  <c r="T28" i="33"/>
  <c r="S28" i="33"/>
  <c r="T29" i="33"/>
  <c r="S29" i="33"/>
  <c r="T30" i="33"/>
  <c r="S30" i="33"/>
  <c r="T31" i="33"/>
  <c r="S31" i="33"/>
  <c r="T32" i="33"/>
  <c r="S32" i="33"/>
  <c r="T33" i="33"/>
  <c r="S33" i="33"/>
  <c r="T34" i="33"/>
  <c r="S34" i="33"/>
  <c r="U12" i="18" a="1"/>
  <c r="U12" i="18" s="1"/>
  <c r="U13" i="18" a="1"/>
  <c r="U13" i="18" s="1"/>
  <c r="U14" i="18" a="1"/>
  <c r="U14" i="18" s="1"/>
  <c r="U15" i="18" a="1"/>
  <c r="U15" i="18" s="1"/>
  <c r="U16" i="18" a="1"/>
  <c r="U16" i="18" s="1"/>
  <c r="T13" i="18" a="1"/>
  <c r="T13" i="18" s="1"/>
  <c r="V13" i="18" s="1"/>
  <c r="T14" i="18" a="1"/>
  <c r="T14" i="18" s="1"/>
  <c r="V14" i="18" s="1"/>
  <c r="T15" i="18" a="1"/>
  <c r="T15" i="18" s="1"/>
  <c r="V15" i="18" s="1"/>
  <c r="T16" i="18" a="1"/>
  <c r="T16" i="18" s="1"/>
  <c r="V16" i="18" s="1"/>
  <c r="P29" i="25"/>
  <c r="O29" i="25"/>
  <c r="N29" i="25"/>
  <c r="M29" i="25"/>
  <c r="L29" i="25"/>
  <c r="K29" i="25"/>
  <c r="J29" i="25"/>
  <c r="I29" i="25"/>
  <c r="H29" i="25"/>
  <c r="G29" i="25"/>
  <c r="F29" i="25"/>
  <c r="D29" i="25"/>
  <c r="C29" i="25"/>
  <c r="E29" i="25"/>
  <c r="B29" i="25"/>
  <c r="P27" i="25"/>
  <c r="O27" i="25"/>
  <c r="N27" i="25"/>
  <c r="M27" i="25"/>
  <c r="L27" i="25"/>
  <c r="K27" i="25"/>
  <c r="J27" i="25"/>
  <c r="I27" i="25"/>
  <c r="H27" i="25"/>
  <c r="G27" i="25"/>
  <c r="F27" i="25"/>
  <c r="D27" i="25"/>
  <c r="C27" i="25"/>
  <c r="E27" i="25"/>
  <c r="B27" i="25"/>
  <c r="P26" i="25"/>
  <c r="O26" i="25"/>
  <c r="N26" i="25"/>
  <c r="M26" i="25"/>
  <c r="L26" i="25"/>
  <c r="K26" i="25"/>
  <c r="J26" i="25"/>
  <c r="I26" i="25"/>
  <c r="H26" i="25"/>
  <c r="G26" i="25"/>
  <c r="F26" i="25"/>
  <c r="D26" i="25"/>
  <c r="C26" i="25"/>
  <c r="E26" i="25"/>
  <c r="B26" i="25"/>
  <c r="S15" i="23" a="1"/>
  <c r="S15" i="23" s="1"/>
  <c r="R15" i="23" a="1"/>
  <c r="R15" i="23" s="1"/>
  <c r="Q15" i="23" a="1"/>
  <c r="Q15" i="23" s="1"/>
  <c r="S14" i="23" a="1"/>
  <c r="S14" i="23" s="1"/>
  <c r="R14" i="23" a="1"/>
  <c r="R14" i="23" s="1"/>
  <c r="Q14" i="23" a="1"/>
  <c r="Q14" i="23" s="1"/>
  <c r="S13" i="23" a="1"/>
  <c r="S13" i="23" s="1"/>
  <c r="R13" i="23" a="1"/>
  <c r="R13" i="23" s="1"/>
  <c r="Q13" i="23" a="1"/>
  <c r="Q13" i="23" s="1"/>
  <c r="S12" i="23" a="1"/>
  <c r="S12" i="23" s="1"/>
  <c r="R12" i="23" a="1"/>
  <c r="R12" i="23" s="1"/>
  <c r="Q12" i="23" a="1"/>
  <c r="Q12" i="23" s="1"/>
  <c r="S11" i="23" a="1"/>
  <c r="S11" i="23" s="1"/>
  <c r="R11" i="23" a="1"/>
  <c r="R11" i="23" s="1"/>
  <c r="N11" i="23"/>
  <c r="Q11" i="23" s="1" a="1"/>
  <c r="Q11" i="23" s="1"/>
  <c r="R20" i="19"/>
  <c r="T20" i="22"/>
  <c r="R44" i="19"/>
  <c r="T44" i="22"/>
  <c r="R26" i="19"/>
  <c r="T26" i="22"/>
  <c r="R25" i="19"/>
  <c r="T25" i="22"/>
  <c r="R23" i="19"/>
  <c r="T23" i="22"/>
  <c r="R21" i="19"/>
  <c r="T21" i="22"/>
  <c r="R17" i="19"/>
  <c r="T17" i="22"/>
  <c r="R14" i="19"/>
  <c r="T14" i="22"/>
  <c r="C34" i="10"/>
  <c r="C34" i="8"/>
  <c r="D52" i="10"/>
  <c r="G52" i="2" a="1"/>
  <c r="G52" i="2" s="1"/>
  <c r="D28" i="8"/>
  <c r="D28" i="10"/>
  <c r="C38" i="8"/>
  <c r="C26" i="8"/>
  <c r="D11" i="8"/>
  <c r="C23" i="10"/>
  <c r="C26" i="10"/>
  <c r="C38" i="10"/>
  <c r="C44" i="10"/>
  <c r="C46" i="10"/>
  <c r="G32" i="2" a="1"/>
  <c r="G32" i="2" s="1"/>
  <c r="T36" i="32" s="1"/>
  <c r="C62" i="8"/>
  <c r="D61" i="8"/>
  <c r="D58" i="8"/>
  <c r="D34" i="8"/>
  <c r="D21" i="8"/>
  <c r="D14" i="8"/>
  <c r="D14" i="10"/>
  <c r="G58" i="2" a="1"/>
  <c r="G58" i="2" s="1"/>
  <c r="E27" i="2" a="1"/>
  <c r="E27" i="2" s="1"/>
  <c r="C27" i="8"/>
  <c r="C27" i="10"/>
  <c r="D22" i="8"/>
  <c r="G22" i="2" a="1"/>
  <c r="G22" i="2" s="1"/>
  <c r="T22" i="32" s="1"/>
  <c r="D22" i="10"/>
  <c r="C31" i="10"/>
  <c r="C31" i="8"/>
  <c r="G24" i="2" a="1"/>
  <c r="G24" i="2" s="1"/>
  <c r="T24" i="32" s="1"/>
  <c r="D24" i="10"/>
  <c r="D24" i="8"/>
  <c r="E33" i="2" a="1"/>
  <c r="E33" i="2" s="1"/>
  <c r="C33" i="8"/>
  <c r="E25" i="2" a="1"/>
  <c r="E25" i="2" s="1"/>
  <c r="C25" i="8"/>
  <c r="C25" i="10"/>
  <c r="D48" i="8"/>
  <c r="D26" i="8"/>
  <c r="D54" i="10"/>
  <c r="G54" i="2" a="1"/>
  <c r="G54" i="2" s="1"/>
  <c r="D35" i="10"/>
  <c r="D35" i="8"/>
  <c r="G13" i="2" a="1"/>
  <c r="G13" i="2" s="1"/>
  <c r="T13" i="32" s="1"/>
  <c r="D13" i="10"/>
  <c r="E37" i="2" a="1"/>
  <c r="E37" i="2" s="1"/>
  <c r="C37" i="10"/>
  <c r="E20" i="2" a="1"/>
  <c r="E20" i="2" s="1"/>
  <c r="C20" i="10"/>
  <c r="E17" i="2" a="1"/>
  <c r="E17" i="2" s="1"/>
  <c r="C17" i="10"/>
  <c r="C17" i="8"/>
  <c r="E14" i="2" a="1"/>
  <c r="E14" i="2" s="1"/>
  <c r="C14" i="10"/>
  <c r="C14" i="8"/>
  <c r="G39" i="2" a="1"/>
  <c r="G39" i="2" s="1"/>
  <c r="D39" i="8"/>
  <c r="G19" i="2" a="1"/>
  <c r="G19" i="2" s="1"/>
  <c r="T19" i="32" s="1"/>
  <c r="D19" i="10"/>
  <c r="D19" i="8"/>
  <c r="E49" i="2" a="1"/>
  <c r="E49" i="2" s="1"/>
  <c r="C49" i="8"/>
  <c r="G42" i="2" a="1"/>
  <c r="G42" i="2" s="1"/>
  <c r="D42" i="10"/>
  <c r="C44" i="8"/>
  <c r="D52" i="8"/>
  <c r="D45" i="8"/>
  <c r="D33" i="8"/>
  <c r="D30" i="8"/>
  <c r="D16" i="8"/>
  <c r="G16" i="2" a="1"/>
  <c r="G16" i="2" s="1"/>
  <c r="T16" i="32" s="1"/>
  <c r="D29" i="10"/>
  <c r="D29" i="8"/>
  <c r="G15" i="2" a="1"/>
  <c r="G15" i="2" s="1"/>
  <c r="T15" i="32" s="1"/>
  <c r="D15" i="8"/>
  <c r="E61" i="2" a="1"/>
  <c r="E61" i="2" s="1"/>
  <c r="C61" i="10"/>
  <c r="E59" i="2" a="1"/>
  <c r="E59" i="2" s="1"/>
  <c r="C59" i="10"/>
  <c r="C59" i="8"/>
  <c r="E36" i="2" a="1"/>
  <c r="E36" i="2" s="1"/>
  <c r="C36" i="10"/>
  <c r="C28" i="10"/>
  <c r="C28" i="8"/>
  <c r="E22" i="2" a="1"/>
  <c r="E22" i="2" s="1"/>
  <c r="C22" i="8"/>
  <c r="D49" i="10"/>
  <c r="G49" i="2" a="1"/>
  <c r="G49" i="2" s="1"/>
  <c r="D49" i="8"/>
  <c r="D40" i="10"/>
  <c r="G40" i="2" a="1"/>
  <c r="G40" i="2" s="1"/>
  <c r="D40" i="8"/>
  <c r="E19" i="2" a="1"/>
  <c r="E19" i="2" s="1"/>
  <c r="C19" i="10"/>
  <c r="C19" i="8"/>
  <c r="E58" i="2" a="1"/>
  <c r="E58" i="2" s="1"/>
  <c r="C58" i="10"/>
  <c r="C58" i="8"/>
  <c r="G43" i="2" a="1"/>
  <c r="G43" i="2" s="1"/>
  <c r="D43" i="10"/>
  <c r="D43" i="8"/>
  <c r="E52" i="2" a="1"/>
  <c r="E52" i="2" s="1"/>
  <c r="C52" i="10"/>
  <c r="C52" i="8"/>
  <c r="D17" i="10"/>
  <c r="D25" i="10"/>
  <c r="C33" i="10"/>
  <c r="G11" i="2" a="1"/>
  <c r="G11" i="2" s="1"/>
  <c r="T11" i="32" s="1"/>
  <c r="O33" i="2"/>
  <c r="G33" i="2" s="1" a="1"/>
  <c r="G33" i="2" s="1"/>
  <c r="T31" i="32" s="1"/>
  <c r="E43" i="2" a="1"/>
  <c r="E43" i="2" s="1"/>
  <c r="C43" i="10"/>
  <c r="E41" i="2" a="1"/>
  <c r="E41" i="2" s="1"/>
  <c r="C41" i="10"/>
  <c r="E56" i="2" a="1"/>
  <c r="E56" i="2" s="1"/>
  <c r="C56" i="10"/>
  <c r="G57" i="2" a="1"/>
  <c r="G57" i="2" s="1"/>
  <c r="D57" i="10"/>
  <c r="E55" i="2" a="1"/>
  <c r="E55" i="2" s="1"/>
  <c r="C55" i="10"/>
  <c r="E35" i="2" a="1"/>
  <c r="E35" i="2" s="1"/>
  <c r="O35" i="2"/>
  <c r="G35" i="2" s="1" a="1"/>
  <c r="G35" i="2" s="1"/>
  <c r="C35" i="10"/>
  <c r="E29" i="2" a="1"/>
  <c r="E29" i="2" s="1"/>
  <c r="O29" i="2"/>
  <c r="G29" i="2" s="1" a="1"/>
  <c r="G29" i="2" s="1"/>
  <c r="M35" i="8"/>
  <c r="M28" i="8"/>
  <c r="M26" i="8"/>
  <c r="M19" i="8"/>
  <c r="M17" i="8"/>
  <c r="N33" i="8"/>
  <c r="N31" i="8"/>
  <c r="N24" i="8"/>
  <c r="N22" i="8"/>
  <c r="N15" i="8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M34" i="8"/>
  <c r="M32" i="8"/>
  <c r="M25" i="8"/>
  <c r="M23" i="8"/>
  <c r="M16" i="8"/>
  <c r="M14" i="8"/>
  <c r="N30" i="8"/>
  <c r="N28" i="8"/>
  <c r="N21" i="8"/>
  <c r="N19" i="8"/>
  <c r="M31" i="8"/>
  <c r="M29" i="8"/>
  <c r="M22" i="8"/>
  <c r="M20" i="8"/>
  <c r="N36" i="8"/>
  <c r="N34" i="8"/>
  <c r="N27" i="8"/>
  <c r="N25" i="8"/>
  <c r="N18" i="8"/>
  <c r="N16" i="8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M36" i="8"/>
  <c r="M33" i="8"/>
  <c r="M30" i="8"/>
  <c r="M27" i="8"/>
  <c r="M24" i="8"/>
  <c r="M21" i="8"/>
  <c r="M18" i="8"/>
  <c r="M15" i="8"/>
  <c r="N35" i="8"/>
  <c r="N32" i="8"/>
  <c r="N29" i="8"/>
  <c r="N26" i="8"/>
  <c r="N23" i="8"/>
  <c r="N20" i="8"/>
  <c r="N17" i="8"/>
  <c r="N14" i="8"/>
  <c r="M17" i="6"/>
  <c r="G46" i="2" a="1"/>
  <c r="G46" i="2" s="1"/>
  <c r="D46" i="8"/>
  <c r="D46" i="10"/>
  <c r="G27" i="2" a="1"/>
  <c r="G27" i="2" s="1"/>
  <c r="T27" i="32" s="1"/>
  <c r="D27" i="8"/>
  <c r="D27" i="10"/>
  <c r="E57" i="2" a="1"/>
  <c r="E57" i="2" s="1"/>
  <c r="C57" i="10"/>
  <c r="C57" i="8"/>
  <c r="M26" i="6"/>
  <c r="G64" i="2" a="1"/>
  <c r="G64" i="2" s="1"/>
  <c r="D64" i="8"/>
  <c r="D64" i="10"/>
  <c r="E39" i="2" a="1"/>
  <c r="E39" i="2" s="1"/>
  <c r="C39" i="10"/>
  <c r="C39" i="8"/>
  <c r="E21" i="2" a="1"/>
  <c r="E21" i="2" s="1"/>
  <c r="C21" i="10"/>
  <c r="C21" i="8"/>
  <c r="E11" i="2" a="1"/>
  <c r="E11" i="2" s="1"/>
  <c r="C11" i="8"/>
  <c r="C11" i="10"/>
  <c r="G55" i="2" a="1"/>
  <c r="G55" i="2" s="1"/>
  <c r="D55" i="8"/>
  <c r="D55" i="10"/>
  <c r="G36" i="2" a="1"/>
  <c r="G36" i="2" s="1"/>
  <c r="D36" i="8"/>
  <c r="D36" i="10"/>
  <c r="G18" i="2" a="1"/>
  <c r="G18" i="2" s="1"/>
  <c r="T18" i="32" s="1"/>
  <c r="D18" i="8"/>
  <c r="D18" i="10"/>
  <c r="E66" i="2" a="1"/>
  <c r="E66" i="2" s="1"/>
  <c r="C66" i="10"/>
  <c r="C66" i="8"/>
  <c r="E48" i="2" a="1"/>
  <c r="E48" i="2" s="1"/>
  <c r="C48" i="10"/>
  <c r="C48" i="8"/>
  <c r="E30" i="2" a="1"/>
  <c r="E30" i="2" s="1"/>
  <c r="O30" i="2"/>
  <c r="G30" i="2" s="1" a="1"/>
  <c r="G30" i="2" s="1"/>
  <c r="C30" i="10"/>
  <c r="C30" i="8"/>
  <c r="E12" i="2" a="1"/>
  <c r="E12" i="2" s="1"/>
  <c r="C12" i="10"/>
  <c r="C12" i="8"/>
  <c r="M44" i="6"/>
  <c r="M25" i="6"/>
  <c r="M20" i="6"/>
  <c r="M16" i="6"/>
  <c r="M11" i="6"/>
  <c r="G59" i="2" a="1"/>
  <c r="G59" i="2" s="1"/>
  <c r="D59" i="10"/>
  <c r="G50" i="2" a="1"/>
  <c r="G50" i="2" s="1"/>
  <c r="D50" i="10"/>
  <c r="E63" i="2" a="1"/>
  <c r="E63" i="2" s="1"/>
  <c r="C63" i="10"/>
  <c r="E54" i="2" a="1"/>
  <c r="E54" i="2" s="1"/>
  <c r="C54" i="10"/>
  <c r="E45" i="2" a="1"/>
  <c r="E45" i="2" s="1"/>
  <c r="C45" i="10"/>
  <c r="E34" i="2" a="1"/>
  <c r="E34" i="2" s="1"/>
  <c r="O34" i="2"/>
  <c r="G34" i="2" s="1" a="1"/>
  <c r="G34" i="2" s="1"/>
  <c r="M46" i="6"/>
  <c r="M24" i="6"/>
  <c r="M22" i="6"/>
  <c r="M15" i="6"/>
  <c r="M13" i="6"/>
  <c r="G62" i="2" a="1"/>
  <c r="G62" i="2" s="1"/>
  <c r="D62" i="10"/>
  <c r="G53" i="2" a="1"/>
  <c r="G53" i="2" s="1"/>
  <c r="D53" i="10"/>
  <c r="G44" i="2" a="1"/>
  <c r="G44" i="2" s="1"/>
  <c r="D44" i="10"/>
  <c r="G38" i="2" a="1"/>
  <c r="G38" i="2" s="1"/>
  <c r="D38" i="10"/>
  <c r="E28" i="2" a="1"/>
  <c r="E28" i="2" s="1"/>
  <c r="O28" i="2"/>
  <c r="G28" i="2" s="1" a="1"/>
  <c r="G28" i="2" s="1"/>
  <c r="T32" i="32" s="1"/>
  <c r="M31" i="6"/>
  <c r="M38" i="6"/>
  <c r="M36" i="6"/>
  <c r="M47" i="6"/>
  <c r="M23" i="6"/>
  <c r="M21" i="6"/>
  <c r="M19" i="6"/>
  <c r="M14" i="6"/>
  <c r="G65" i="2" a="1"/>
  <c r="G65" i="2" s="1"/>
  <c r="D65" i="10"/>
  <c r="G56" i="2" a="1"/>
  <c r="G56" i="2" s="1"/>
  <c r="D56" i="10"/>
  <c r="G47" i="2" a="1"/>
  <c r="G47" i="2" s="1"/>
  <c r="D47" i="10"/>
  <c r="G41" i="2" a="1"/>
  <c r="G41" i="2" s="1"/>
  <c r="D41" i="10"/>
  <c r="G12" i="2" a="1"/>
  <c r="G12" i="2" s="1"/>
  <c r="T12" i="32" s="1"/>
  <c r="D12" i="10"/>
  <c r="E60" i="2" a="1"/>
  <c r="E60" i="2" s="1"/>
  <c r="C60" i="10"/>
  <c r="E51" i="2" a="1"/>
  <c r="E51" i="2" s="1"/>
  <c r="C51" i="10"/>
  <c r="E42" i="2" a="1"/>
  <c r="E42" i="2" s="1"/>
  <c r="C42" i="10"/>
  <c r="E31" i="2" a="1"/>
  <c r="E31" i="2" s="1"/>
  <c r="O31" i="2"/>
  <c r="G31" i="2" s="1" a="1"/>
  <c r="G31" i="2" s="1"/>
  <c r="E13" i="2" a="1"/>
  <c r="E13" i="2" s="1"/>
  <c r="C13" i="10"/>
  <c r="M52" i="6"/>
  <c r="M51" i="6"/>
  <c r="M53" i="6"/>
  <c r="M48" i="6"/>
  <c r="M42" i="6"/>
  <c r="M37" i="6"/>
  <c r="I11" i="2"/>
  <c r="J11" i="2"/>
  <c r="I66" i="2"/>
  <c r="J66" i="2"/>
  <c r="I65" i="2"/>
  <c r="J65" i="2"/>
  <c r="I64" i="2"/>
  <c r="J64" i="2"/>
  <c r="I63" i="2"/>
  <c r="J63" i="2"/>
  <c r="I62" i="2"/>
  <c r="J62" i="2"/>
  <c r="I61" i="2"/>
  <c r="J61" i="2"/>
  <c r="I60" i="2"/>
  <c r="J60" i="2"/>
  <c r="I59" i="2"/>
  <c r="J59" i="2"/>
  <c r="I58" i="2"/>
  <c r="J58" i="2"/>
  <c r="I57" i="2"/>
  <c r="J57" i="2"/>
  <c r="I56" i="2"/>
  <c r="J56" i="2"/>
  <c r="I55" i="2"/>
  <c r="J55" i="2"/>
  <c r="I54" i="2"/>
  <c r="J54" i="2"/>
  <c r="I53" i="2"/>
  <c r="J53" i="2"/>
  <c r="I52" i="2"/>
  <c r="J52" i="2"/>
  <c r="I51" i="2"/>
  <c r="J51" i="2"/>
  <c r="I50" i="2"/>
  <c r="J50" i="2"/>
  <c r="I49" i="2"/>
  <c r="J49" i="2"/>
  <c r="I48" i="2"/>
  <c r="J48" i="2"/>
  <c r="I47" i="2"/>
  <c r="J47" i="2"/>
  <c r="I46" i="2"/>
  <c r="J46" i="2"/>
  <c r="I45" i="2"/>
  <c r="J45" i="2"/>
  <c r="I44" i="2"/>
  <c r="J44" i="2"/>
  <c r="I43" i="2"/>
  <c r="J43" i="2"/>
  <c r="I42" i="2"/>
  <c r="J42" i="2"/>
  <c r="I41" i="2"/>
  <c r="J41" i="2"/>
  <c r="I40" i="2"/>
  <c r="J40" i="2"/>
  <c r="I39" i="2"/>
  <c r="J39" i="2"/>
  <c r="I38" i="2"/>
  <c r="J38" i="2"/>
  <c r="I37" i="2"/>
  <c r="J37" i="2"/>
  <c r="I36" i="2"/>
  <c r="J36" i="2"/>
  <c r="I35" i="2"/>
  <c r="J35" i="2"/>
  <c r="I34" i="2"/>
  <c r="J34" i="2"/>
  <c r="I33" i="2"/>
  <c r="J33" i="2"/>
  <c r="I32" i="2"/>
  <c r="J32" i="2"/>
  <c r="I31" i="2"/>
  <c r="J31" i="2"/>
  <c r="I30" i="2"/>
  <c r="J30" i="2"/>
  <c r="I29" i="2"/>
  <c r="J29" i="2"/>
  <c r="I28" i="2"/>
  <c r="J28" i="2"/>
  <c r="I27" i="2"/>
  <c r="J27" i="2"/>
  <c r="I26" i="2"/>
  <c r="J26" i="2"/>
  <c r="I25" i="2"/>
  <c r="J25" i="2"/>
  <c r="I24" i="2"/>
  <c r="J24" i="2"/>
  <c r="I23" i="2"/>
  <c r="J23" i="2"/>
  <c r="I22" i="2"/>
  <c r="J22" i="2"/>
  <c r="I21" i="2"/>
  <c r="J21" i="2"/>
  <c r="I20" i="2"/>
  <c r="J20" i="2"/>
  <c r="I19" i="2"/>
  <c r="J19" i="2"/>
  <c r="I18" i="2"/>
  <c r="J18" i="2"/>
  <c r="I17" i="2"/>
  <c r="J17" i="2"/>
  <c r="I16" i="2"/>
  <c r="J16" i="2"/>
  <c r="I15" i="2"/>
  <c r="J15" i="2"/>
  <c r="I14" i="2"/>
  <c r="J14" i="2"/>
  <c r="I13" i="2"/>
  <c r="J13" i="2"/>
  <c r="I12" i="2"/>
  <c r="J12" i="2"/>
  <c r="H66" i="10"/>
  <c r="H65" i="10"/>
  <c r="I65" i="10" s="1"/>
  <c r="H64" i="10"/>
  <c r="I64" i="10" s="1"/>
  <c r="H63" i="10"/>
  <c r="H62" i="10"/>
  <c r="J62" i="10" s="1"/>
  <c r="H61" i="10"/>
  <c r="I61" i="10" s="1"/>
  <c r="H60" i="10"/>
  <c r="I60" i="10" s="1"/>
  <c r="H59" i="10"/>
  <c r="I59" i="10" s="1"/>
  <c r="H58" i="10"/>
  <c r="I58" i="10" s="1"/>
  <c r="H57" i="10"/>
  <c r="I57" i="10" s="1"/>
  <c r="H56" i="10"/>
  <c r="I56" i="10" s="1"/>
  <c r="H55" i="10"/>
  <c r="I55" i="10" s="1"/>
  <c r="H54" i="10"/>
  <c r="H53" i="10"/>
  <c r="J53" i="10" s="1"/>
  <c r="H52" i="10"/>
  <c r="I52" i="10" s="1"/>
  <c r="H51" i="10"/>
  <c r="H50" i="10"/>
  <c r="I50" i="10" s="1"/>
  <c r="H49" i="10"/>
  <c r="I49" i="10" s="1"/>
  <c r="H48" i="10"/>
  <c r="I48" i="10" s="1"/>
  <c r="H47" i="10"/>
  <c r="J47" i="10" s="1"/>
  <c r="H46" i="10"/>
  <c r="I46" i="10" s="1"/>
  <c r="H45" i="10"/>
  <c r="I45" i="10" s="1"/>
  <c r="H44" i="10"/>
  <c r="J44" i="10" s="1"/>
  <c r="H43" i="10"/>
  <c r="J43" i="10" s="1"/>
  <c r="H42" i="10"/>
  <c r="I42" i="10" s="1"/>
  <c r="H41" i="10"/>
  <c r="J41" i="10" s="1"/>
  <c r="H40" i="10"/>
  <c r="J40" i="10" s="1"/>
  <c r="H39" i="10"/>
  <c r="I39" i="10" s="1"/>
  <c r="H38" i="10"/>
  <c r="I38" i="10" s="1"/>
  <c r="H37" i="10"/>
  <c r="I37" i="10" s="1"/>
  <c r="H36" i="10"/>
  <c r="I36" i="10" s="1"/>
  <c r="H35" i="10"/>
  <c r="I35" i="10" s="1"/>
  <c r="H34" i="10"/>
  <c r="J34" i="10" s="1"/>
  <c r="H33" i="10"/>
  <c r="I33" i="10" s="1"/>
  <c r="H32" i="10"/>
  <c r="J32" i="10" s="1"/>
  <c r="H31" i="10"/>
  <c r="J31" i="10" s="1"/>
  <c r="H30" i="10"/>
  <c r="I30" i="10" s="1"/>
  <c r="H29" i="10"/>
  <c r="I29" i="10" s="1"/>
  <c r="H28" i="10"/>
  <c r="I28" i="10" s="1"/>
  <c r="H27" i="10"/>
  <c r="I27" i="10" s="1"/>
  <c r="H26" i="10"/>
  <c r="I26" i="10" s="1"/>
  <c r="H25" i="10"/>
  <c r="J25" i="10" s="1"/>
  <c r="H24" i="10"/>
  <c r="I24" i="10" s="1"/>
  <c r="H23" i="10"/>
  <c r="J23" i="10" s="1"/>
  <c r="H22" i="10"/>
  <c r="J22" i="10" s="1"/>
  <c r="H21" i="10"/>
  <c r="I21" i="10" s="1"/>
  <c r="H20" i="10"/>
  <c r="J20" i="10" s="1"/>
  <c r="H19" i="10"/>
  <c r="J19" i="10" s="1"/>
  <c r="H18" i="10"/>
  <c r="I18" i="10" s="1"/>
  <c r="H17" i="10"/>
  <c r="J17" i="10" s="1"/>
  <c r="H16" i="10"/>
  <c r="I16" i="10" s="1"/>
  <c r="H15" i="10"/>
  <c r="J15" i="10" s="1"/>
  <c r="H14" i="10"/>
  <c r="I14" i="10" s="1"/>
  <c r="H13" i="10"/>
  <c r="J13" i="10" s="1"/>
  <c r="H12" i="10"/>
  <c r="J12" i="10" s="1"/>
  <c r="H11" i="10"/>
  <c r="I11" i="10" s="1"/>
  <c r="J35" i="10"/>
  <c r="J42" i="10"/>
  <c r="J45" i="10"/>
  <c r="J51" i="10"/>
  <c r="I51" i="10"/>
  <c r="I53" i="10"/>
  <c r="J54" i="10"/>
  <c r="I54" i="10"/>
  <c r="J57" i="10"/>
  <c r="I62" i="10"/>
  <c r="J63" i="10"/>
  <c r="I63" i="10"/>
  <c r="J66" i="10"/>
  <c r="I66" i="10"/>
  <c r="G66" i="8"/>
  <c r="H66" i="8" s="1"/>
  <c r="G65" i="8"/>
  <c r="H65" i="8" s="1"/>
  <c r="G64" i="8"/>
  <c r="H64" i="8" s="1"/>
  <c r="G63" i="8"/>
  <c r="H63" i="8" s="1"/>
  <c r="G62" i="8"/>
  <c r="H62" i="8" s="1"/>
  <c r="G61" i="8"/>
  <c r="H61" i="8" s="1"/>
  <c r="G60" i="8"/>
  <c r="I60" i="8" s="1"/>
  <c r="G59" i="8"/>
  <c r="H59" i="8" s="1"/>
  <c r="G58" i="8"/>
  <c r="H58" i="8" s="1"/>
  <c r="G57" i="8"/>
  <c r="H57" i="8" s="1"/>
  <c r="G56" i="8"/>
  <c r="H56" i="8" s="1"/>
  <c r="G55" i="8"/>
  <c r="H55" i="8" s="1"/>
  <c r="G54" i="8"/>
  <c r="I54" i="8" s="1"/>
  <c r="G53" i="8"/>
  <c r="H53" i="8" s="1"/>
  <c r="G52" i="8"/>
  <c r="H52" i="8" s="1"/>
  <c r="G51" i="8"/>
  <c r="H51" i="8" s="1"/>
  <c r="G50" i="8"/>
  <c r="H50" i="8" s="1"/>
  <c r="G49" i="8"/>
  <c r="H49" i="8" s="1"/>
  <c r="G48" i="8"/>
  <c r="H48" i="8" s="1"/>
  <c r="G47" i="8"/>
  <c r="H47" i="8" s="1"/>
  <c r="G46" i="8"/>
  <c r="H46" i="8" s="1"/>
  <c r="G45" i="8"/>
  <c r="I45" i="8" s="1"/>
  <c r="G44" i="8"/>
  <c r="H44" i="8" s="1"/>
  <c r="G43" i="8"/>
  <c r="H43" i="8" s="1"/>
  <c r="G42" i="8"/>
  <c r="H42" i="8" s="1"/>
  <c r="G41" i="8"/>
  <c r="H41" i="8" s="1"/>
  <c r="G40" i="8"/>
  <c r="H40" i="8" s="1"/>
  <c r="G39" i="8"/>
  <c r="H39" i="8" s="1"/>
  <c r="G38" i="8"/>
  <c r="H38" i="8" s="1"/>
  <c r="G37" i="8"/>
  <c r="H37" i="8" s="1"/>
  <c r="G36" i="8"/>
  <c r="H36" i="8" s="1"/>
  <c r="G35" i="8"/>
  <c r="H35" i="8" s="1"/>
  <c r="G34" i="8"/>
  <c r="H34" i="8" s="1"/>
  <c r="G33" i="8"/>
  <c r="H33" i="8" s="1"/>
  <c r="G32" i="8"/>
  <c r="H32" i="8" s="1"/>
  <c r="G31" i="8"/>
  <c r="H31" i="8" s="1"/>
  <c r="G30" i="8"/>
  <c r="H30" i="8" s="1"/>
  <c r="G29" i="8"/>
  <c r="H29" i="8" s="1"/>
  <c r="G28" i="8"/>
  <c r="H28" i="8" s="1"/>
  <c r="G27" i="8"/>
  <c r="H27" i="8" s="1"/>
  <c r="G26" i="8"/>
  <c r="H26" i="8" s="1"/>
  <c r="G25" i="8"/>
  <c r="H25" i="8" s="1"/>
  <c r="G24" i="8"/>
  <c r="I24" i="8" s="1"/>
  <c r="G23" i="8"/>
  <c r="H23" i="8" s="1"/>
  <c r="G22" i="8"/>
  <c r="H22" i="8" s="1"/>
  <c r="G21" i="8"/>
  <c r="H21" i="8" s="1"/>
  <c r="G20" i="8"/>
  <c r="H20" i="8" s="1"/>
  <c r="G19" i="8"/>
  <c r="H19" i="8" s="1"/>
  <c r="G18" i="8"/>
  <c r="H18" i="8" s="1"/>
  <c r="G17" i="8"/>
  <c r="H17" i="8" s="1"/>
  <c r="G16" i="8"/>
  <c r="H16" i="8" s="1"/>
  <c r="G15" i="8"/>
  <c r="H15" i="8" s="1"/>
  <c r="G14" i="8"/>
  <c r="H14" i="8" s="1"/>
  <c r="G13" i="8"/>
  <c r="H13" i="8" s="1"/>
  <c r="G12" i="8"/>
  <c r="H12" i="8" s="1"/>
  <c r="G11" i="8"/>
  <c r="H11" i="8" s="1"/>
  <c r="E16" i="25" l="1" a="1"/>
  <c r="E16" i="25" s="1"/>
  <c r="F19" i="25" a="1"/>
  <c r="F19" i="25" s="1"/>
  <c r="A28" i="25" a="1"/>
  <c r="A28" i="25" s="1"/>
  <c r="A16" i="39" a="1"/>
  <c r="A16" i="39" s="1"/>
  <c r="T40" i="32"/>
  <c r="T40" i="22"/>
  <c r="R40" i="19"/>
  <c r="M40" i="6"/>
  <c r="T30" i="32"/>
  <c r="T30" i="22"/>
  <c r="R30" i="19"/>
  <c r="M30" i="6"/>
  <c r="V53" i="18"/>
  <c r="P54" i="18"/>
  <c r="P11" i="18"/>
  <c r="Q11" i="6" s="1"/>
  <c r="P53" i="18"/>
  <c r="P52" i="18"/>
  <c r="P51" i="18"/>
  <c r="P50" i="18"/>
  <c r="P49" i="18"/>
  <c r="P48" i="18"/>
  <c r="P47" i="18"/>
  <c r="P46" i="18"/>
  <c r="V12" i="18"/>
  <c r="V11" i="18"/>
  <c r="X11" i="32" s="1"/>
  <c r="V52" i="18"/>
  <c r="V51" i="18"/>
  <c r="V50" i="18"/>
  <c r="V49" i="18"/>
  <c r="V48" i="18"/>
  <c r="V47" i="18"/>
  <c r="V46" i="18"/>
  <c r="V45" i="18"/>
  <c r="V44" i="18"/>
  <c r="V43" i="18"/>
  <c r="V42" i="18"/>
  <c r="V41" i="18"/>
  <c r="V40" i="18"/>
  <c r="V39" i="18"/>
  <c r="V38" i="18"/>
  <c r="V37" i="18"/>
  <c r="V36" i="18"/>
  <c r="V35" i="18"/>
  <c r="Q26" i="25"/>
  <c r="Q27" i="25"/>
  <c r="T27" i="25"/>
  <c r="R27" i="25"/>
  <c r="U27" i="25"/>
  <c r="V27" i="25"/>
  <c r="W27" i="25"/>
  <c r="X27" i="25"/>
  <c r="S27" i="25"/>
  <c r="R26" i="25"/>
  <c r="T26" i="25"/>
  <c r="V26" i="25"/>
  <c r="U26" i="25"/>
  <c r="X26" i="25"/>
  <c r="W26" i="25"/>
  <c r="S26" i="25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12" i="6"/>
  <c r="I11" i="6" a="1"/>
  <c r="I11" i="6" s="1"/>
  <c r="I12" i="6" a="1"/>
  <c r="I12" i="6" s="1"/>
  <c r="I13" i="6" a="1"/>
  <c r="I13" i="6" s="1"/>
  <c r="I14" i="6" a="1"/>
  <c r="I14" i="6" s="1"/>
  <c r="I15" i="6" a="1"/>
  <c r="I15" i="6" s="1"/>
  <c r="I16" i="6" a="1"/>
  <c r="I16" i="6" s="1"/>
  <c r="I17" i="6" a="1"/>
  <c r="I17" i="6" s="1"/>
  <c r="I18" i="6" a="1"/>
  <c r="I18" i="6" s="1"/>
  <c r="I19" i="6" a="1"/>
  <c r="I19" i="6" s="1"/>
  <c r="I20" i="6" a="1"/>
  <c r="I20" i="6" s="1"/>
  <c r="I21" i="6" a="1"/>
  <c r="I21" i="6" s="1"/>
  <c r="I22" i="6" a="1"/>
  <c r="I22" i="6" s="1"/>
  <c r="I23" i="6" a="1"/>
  <c r="I23" i="6" s="1"/>
  <c r="I24" i="6" a="1"/>
  <c r="I24" i="6" s="1"/>
  <c r="I25" i="6" a="1"/>
  <c r="I25" i="6" s="1"/>
  <c r="I26" i="6" a="1"/>
  <c r="I26" i="6" s="1"/>
  <c r="I27" i="6" a="1"/>
  <c r="I27" i="6" s="1"/>
  <c r="I28" i="6" a="1"/>
  <c r="I28" i="6" s="1"/>
  <c r="I29" i="6" a="1"/>
  <c r="I29" i="6" s="1"/>
  <c r="I30" i="6" a="1"/>
  <c r="I30" i="6" s="1"/>
  <c r="I31" i="6" a="1"/>
  <c r="I31" i="6" s="1"/>
  <c r="I32" i="6" a="1"/>
  <c r="I32" i="6" s="1"/>
  <c r="I33" i="6" a="1"/>
  <c r="I33" i="6" s="1"/>
  <c r="I34" i="6" a="1"/>
  <c r="I34" i="6" s="1"/>
  <c r="I35" i="6" a="1"/>
  <c r="I35" i="6" s="1"/>
  <c r="I36" i="6" a="1"/>
  <c r="I36" i="6" s="1"/>
  <c r="I37" i="6" a="1"/>
  <c r="I37" i="6" s="1"/>
  <c r="I38" i="6" a="1"/>
  <c r="I38" i="6" s="1"/>
  <c r="I39" i="6" a="1"/>
  <c r="I39" i="6" s="1"/>
  <c r="I40" i="6" a="1"/>
  <c r="I40" i="6" s="1"/>
  <c r="I41" i="6" a="1"/>
  <c r="I41" i="6" s="1"/>
  <c r="I42" i="6" a="1"/>
  <c r="I42" i="6" s="1"/>
  <c r="I43" i="6" a="1"/>
  <c r="I43" i="6" s="1"/>
  <c r="I44" i="6" a="1"/>
  <c r="I44" i="6" s="1"/>
  <c r="I45" i="6" a="1"/>
  <c r="I45" i="6" s="1"/>
  <c r="I46" i="6" a="1"/>
  <c r="I46" i="6" s="1"/>
  <c r="I47" i="6" a="1"/>
  <c r="I47" i="6" s="1"/>
  <c r="I48" i="6" a="1"/>
  <c r="I48" i="6" s="1"/>
  <c r="I49" i="6" a="1"/>
  <c r="I49" i="6" s="1"/>
  <c r="I50" i="6" a="1"/>
  <c r="I50" i="6" s="1"/>
  <c r="I51" i="6" a="1"/>
  <c r="I51" i="6" s="1"/>
  <c r="I52" i="6" a="1"/>
  <c r="I52" i="6" s="1"/>
  <c r="I53" i="6" a="1"/>
  <c r="I53" i="6" s="1"/>
  <c r="H11" i="6" a="1"/>
  <c r="H11" i="6" s="1"/>
  <c r="H12" i="6" a="1"/>
  <c r="H12" i="6" s="1"/>
  <c r="H13" i="6" a="1"/>
  <c r="H13" i="6" s="1"/>
  <c r="H14" i="6" a="1"/>
  <c r="H14" i="6" s="1"/>
  <c r="H15" i="6" a="1"/>
  <c r="H15" i="6" s="1"/>
  <c r="H16" i="6" a="1"/>
  <c r="H16" i="6" s="1"/>
  <c r="H17" i="6" a="1"/>
  <c r="H17" i="6" s="1"/>
  <c r="H18" i="6" a="1"/>
  <c r="H18" i="6" s="1"/>
  <c r="H19" i="6" a="1"/>
  <c r="H19" i="6" s="1"/>
  <c r="H20" i="6" a="1"/>
  <c r="H20" i="6" s="1"/>
  <c r="H21" i="6" a="1"/>
  <c r="H21" i="6" s="1"/>
  <c r="H22" i="6" a="1"/>
  <c r="H22" i="6" s="1"/>
  <c r="H23" i="6" a="1"/>
  <c r="H23" i="6" s="1"/>
  <c r="H24" i="6" a="1"/>
  <c r="H24" i="6" s="1"/>
  <c r="H25" i="6" a="1"/>
  <c r="H25" i="6" s="1"/>
  <c r="H26" i="6" a="1"/>
  <c r="H26" i="6" s="1"/>
  <c r="H27" i="6" a="1"/>
  <c r="H27" i="6" s="1"/>
  <c r="H28" i="6" a="1"/>
  <c r="H28" i="6" s="1"/>
  <c r="H29" i="6" a="1"/>
  <c r="H29" i="6" s="1"/>
  <c r="H30" i="6" a="1"/>
  <c r="H30" i="6" s="1"/>
  <c r="H31" i="6" a="1"/>
  <c r="H31" i="6" s="1"/>
  <c r="H32" i="6" a="1"/>
  <c r="H32" i="6" s="1"/>
  <c r="H33" i="6" a="1"/>
  <c r="H33" i="6" s="1"/>
  <c r="H34" i="6" a="1"/>
  <c r="H34" i="6" s="1"/>
  <c r="H35" i="6" a="1"/>
  <c r="H35" i="6" s="1"/>
  <c r="H36" i="6" a="1"/>
  <c r="H36" i="6" s="1"/>
  <c r="H37" i="6" a="1"/>
  <c r="H37" i="6" s="1"/>
  <c r="H38" i="6" a="1"/>
  <c r="H38" i="6" s="1"/>
  <c r="H39" i="6" a="1"/>
  <c r="H39" i="6" s="1"/>
  <c r="H40" i="6" a="1"/>
  <c r="H40" i="6" s="1"/>
  <c r="H41" i="6" a="1"/>
  <c r="H41" i="6" s="1"/>
  <c r="H42" i="6" a="1"/>
  <c r="H42" i="6" s="1"/>
  <c r="H43" i="6" a="1"/>
  <c r="H43" i="6" s="1"/>
  <c r="H44" i="6" a="1"/>
  <c r="H44" i="6" s="1"/>
  <c r="H45" i="6" a="1"/>
  <c r="H45" i="6" s="1"/>
  <c r="H46" i="6" a="1"/>
  <c r="H46" i="6" s="1"/>
  <c r="H47" i="6" a="1"/>
  <c r="H47" i="6" s="1"/>
  <c r="H48" i="6" a="1"/>
  <c r="H48" i="6" s="1"/>
  <c r="H49" i="6" a="1"/>
  <c r="H49" i="6" s="1"/>
  <c r="H50" i="6" a="1"/>
  <c r="H50" i="6" s="1"/>
  <c r="H51" i="6" a="1"/>
  <c r="H51" i="6" s="1"/>
  <c r="H52" i="6" a="1"/>
  <c r="H52" i="6" s="1"/>
  <c r="H53" i="6" a="1"/>
  <c r="H53" i="6" s="1"/>
  <c r="X29" i="32"/>
  <c r="T48" i="32"/>
  <c r="T45" i="32"/>
  <c r="T52" i="32"/>
  <c r="T43" i="32"/>
  <c r="T38" i="32"/>
  <c r="T51" i="32"/>
  <c r="T47" i="32"/>
  <c r="T53" i="32"/>
  <c r="T46" i="32"/>
  <c r="T11" i="33"/>
  <c r="S11" i="33"/>
  <c r="T12" i="33"/>
  <c r="S12" i="33"/>
  <c r="T13" i="33"/>
  <c r="S13" i="33"/>
  <c r="T14" i="33"/>
  <c r="S14" i="33"/>
  <c r="T15" i="33"/>
  <c r="S15" i="33"/>
  <c r="T16" i="33"/>
  <c r="S16" i="33"/>
  <c r="T35" i="32"/>
  <c r="T29" i="32"/>
  <c r="T42" i="32"/>
  <c r="T39" i="32"/>
  <c r="T37" i="32"/>
  <c r="T34" i="32"/>
  <c r="T33" i="32"/>
  <c r="T28" i="32"/>
  <c r="X60" i="32"/>
  <c r="X59" i="32"/>
  <c r="X58" i="32"/>
  <c r="X57" i="32"/>
  <c r="X56" i="32"/>
  <c r="X55" i="32"/>
  <c r="X54" i="32"/>
  <c r="X53" i="32"/>
  <c r="X52" i="32"/>
  <c r="X51" i="32"/>
  <c r="X50" i="32"/>
  <c r="X49" i="32"/>
  <c r="X48" i="32"/>
  <c r="X47" i="32"/>
  <c r="X46" i="32"/>
  <c r="X45" i="32"/>
  <c r="X44" i="32"/>
  <c r="X43" i="32"/>
  <c r="X42" i="32"/>
  <c r="X41" i="32"/>
  <c r="X40" i="32"/>
  <c r="X39" i="32"/>
  <c r="X38" i="32"/>
  <c r="X37" i="32"/>
  <c r="X36" i="32"/>
  <c r="X35" i="32"/>
  <c r="X34" i="32"/>
  <c r="X33" i="32"/>
  <c r="X32" i="32"/>
  <c r="X31" i="32"/>
  <c r="X30" i="32"/>
  <c r="X28" i="32"/>
  <c r="X27" i="32"/>
  <c r="X26" i="32"/>
  <c r="X25" i="32"/>
  <c r="X24" i="32"/>
  <c r="X23" i="32"/>
  <c r="X22" i="32"/>
  <c r="X21" i="32"/>
  <c r="X20" i="32"/>
  <c r="X19" i="32"/>
  <c r="X18" i="32"/>
  <c r="X17" i="32"/>
  <c r="X16" i="32"/>
  <c r="X15" i="32"/>
  <c r="X14" i="32"/>
  <c r="X13" i="32"/>
  <c r="X12" i="32"/>
  <c r="T35" i="22"/>
  <c r="T29" i="22"/>
  <c r="R12" i="19"/>
  <c r="T12" i="22"/>
  <c r="R48" i="19"/>
  <c r="T48" i="22"/>
  <c r="R32" i="19"/>
  <c r="T32" i="22"/>
  <c r="R45" i="19"/>
  <c r="T45" i="22"/>
  <c r="R52" i="19"/>
  <c r="T52" i="22"/>
  <c r="T42" i="22"/>
  <c r="T39" i="22"/>
  <c r="T37" i="22"/>
  <c r="T34" i="22"/>
  <c r="R18" i="19"/>
  <c r="T18" i="22"/>
  <c r="R43" i="19"/>
  <c r="T43" i="22"/>
  <c r="R27" i="19"/>
  <c r="T27" i="22"/>
  <c r="T33" i="22"/>
  <c r="T28" i="22"/>
  <c r="R38" i="19"/>
  <c r="T38" i="22"/>
  <c r="R31" i="19"/>
  <c r="T31" i="22"/>
  <c r="R11" i="19"/>
  <c r="T11" i="22"/>
  <c r="R51" i="19"/>
  <c r="T51" i="22"/>
  <c r="R47" i="19"/>
  <c r="T47" i="22"/>
  <c r="R15" i="19"/>
  <c r="T15" i="22"/>
  <c r="R16" i="19"/>
  <c r="T16" i="22"/>
  <c r="R53" i="19"/>
  <c r="T53" i="22"/>
  <c r="R19" i="19"/>
  <c r="T19" i="22"/>
  <c r="R46" i="19"/>
  <c r="T46" i="22"/>
  <c r="R13" i="19"/>
  <c r="T13" i="22"/>
  <c r="R24" i="19"/>
  <c r="T24" i="22"/>
  <c r="R22" i="19"/>
  <c r="T22" i="22"/>
  <c r="R36" i="19"/>
  <c r="T36" i="22"/>
  <c r="M29" i="6"/>
  <c r="R35" i="19"/>
  <c r="R29" i="19"/>
  <c r="M39" i="6"/>
  <c r="R42" i="19"/>
  <c r="R39" i="19"/>
  <c r="M34" i="6"/>
  <c r="R37" i="19"/>
  <c r="R34" i="19"/>
  <c r="R33" i="19"/>
  <c r="R28" i="19"/>
  <c r="J29" i="10"/>
  <c r="M33" i="6"/>
  <c r="M28" i="6"/>
  <c r="J48" i="10"/>
  <c r="J64" i="10"/>
  <c r="J56" i="10"/>
  <c r="J60" i="10"/>
  <c r="J16" i="10"/>
  <c r="M12" i="6"/>
  <c r="M18" i="6"/>
  <c r="I41" i="10"/>
  <c r="M35" i="6"/>
  <c r="M32" i="6"/>
  <c r="M45" i="6"/>
  <c r="M27" i="6"/>
  <c r="M43" i="6"/>
  <c r="I63" i="8"/>
  <c r="I20" i="10"/>
  <c r="J65" i="10"/>
  <c r="J59" i="10"/>
  <c r="J50" i="10"/>
  <c r="I47" i="10"/>
  <c r="P14" i="10" s="1"/>
  <c r="J38" i="10"/>
  <c r="I23" i="10"/>
  <c r="I44" i="10"/>
  <c r="I32" i="10"/>
  <c r="J26" i="10"/>
  <c r="J52" i="10"/>
  <c r="I17" i="10"/>
  <c r="J61" i="10"/>
  <c r="J55" i="10"/>
  <c r="J58" i="10"/>
  <c r="J39" i="10"/>
  <c r="I22" i="10"/>
  <c r="H45" i="8"/>
  <c r="I33" i="8"/>
  <c r="J36" i="10"/>
  <c r="J33" i="10"/>
  <c r="J30" i="10"/>
  <c r="J27" i="10"/>
  <c r="J24" i="10"/>
  <c r="J18" i="10"/>
  <c r="I51" i="8"/>
  <c r="H54" i="8"/>
  <c r="J37" i="10"/>
  <c r="J46" i="10"/>
  <c r="I31" i="10"/>
  <c r="J49" i="10"/>
  <c r="I40" i="10"/>
  <c r="J28" i="10"/>
  <c r="H60" i="8"/>
  <c r="I43" i="10"/>
  <c r="I34" i="10"/>
  <c r="I25" i="10"/>
  <c r="I19" i="10"/>
  <c r="H24" i="8"/>
  <c r="J21" i="10"/>
  <c r="I15" i="10"/>
  <c r="I12" i="10"/>
  <c r="I13" i="10"/>
  <c r="J14" i="10"/>
  <c r="J11" i="10"/>
  <c r="P15" i="10"/>
  <c r="P17" i="10"/>
  <c r="P19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O36" i="8"/>
  <c r="I12" i="8"/>
  <c r="I15" i="8"/>
  <c r="I18" i="8"/>
  <c r="I27" i="8"/>
  <c r="I36" i="8"/>
  <c r="I42" i="8"/>
  <c r="I21" i="8"/>
  <c r="I30" i="8"/>
  <c r="I39" i="8"/>
  <c r="I48" i="8"/>
  <c r="I57" i="8"/>
  <c r="I66" i="8"/>
  <c r="I13" i="8"/>
  <c r="I16" i="8"/>
  <c r="I19" i="8"/>
  <c r="I22" i="8"/>
  <c r="I25" i="8"/>
  <c r="I28" i="8"/>
  <c r="I31" i="8"/>
  <c r="I34" i="8"/>
  <c r="I37" i="8"/>
  <c r="I40" i="8"/>
  <c r="I43" i="8"/>
  <c r="I46" i="8"/>
  <c r="I49" i="8"/>
  <c r="I52" i="8"/>
  <c r="I55" i="8"/>
  <c r="I58" i="8"/>
  <c r="I61" i="8"/>
  <c r="I64" i="8"/>
  <c r="I11" i="8"/>
  <c r="I14" i="8"/>
  <c r="I17" i="8"/>
  <c r="I20" i="8"/>
  <c r="I23" i="8"/>
  <c r="I26" i="8"/>
  <c r="I29" i="8"/>
  <c r="I32" i="8"/>
  <c r="I35" i="8"/>
  <c r="I38" i="8"/>
  <c r="I41" i="8"/>
  <c r="I44" i="8"/>
  <c r="I47" i="8"/>
  <c r="I50" i="8"/>
  <c r="I53" i="8"/>
  <c r="I56" i="8"/>
  <c r="I59" i="8"/>
  <c r="I62" i="8"/>
  <c r="I65" i="8"/>
  <c r="O35" i="8"/>
  <c r="A25" i="25" l="1" a="1"/>
  <c r="A25" i="25" s="1"/>
  <c r="F16" i="25" a="1"/>
  <c r="F16" i="25" s="1"/>
  <c r="Q28" i="25"/>
  <c r="T28" i="25"/>
  <c r="R28" i="25"/>
  <c r="U28" i="25"/>
  <c r="V28" i="25"/>
  <c r="W28" i="25"/>
  <c r="X28" i="25"/>
  <c r="S28" i="25"/>
  <c r="P28" i="25"/>
  <c r="O28" i="25"/>
  <c r="N28" i="25"/>
  <c r="M28" i="25"/>
  <c r="L28" i="25"/>
  <c r="K28" i="25"/>
  <c r="J28" i="25"/>
  <c r="I28" i="25"/>
  <c r="H28" i="25"/>
  <c r="G28" i="25"/>
  <c r="F28" i="25"/>
  <c r="D28" i="25"/>
  <c r="C28" i="25"/>
  <c r="E28" i="25"/>
  <c r="B28" i="25"/>
  <c r="B16" i="39" a="1"/>
  <c r="B16" i="39" s="1"/>
  <c r="C16" i="39" s="1"/>
  <c r="A25" i="39"/>
  <c r="A17" i="39" a="1"/>
  <c r="A17" i="39" s="1"/>
  <c r="X60" i="22"/>
  <c r="X59" i="22"/>
  <c r="X58" i="22"/>
  <c r="X57" i="22"/>
  <c r="X56" i="22"/>
  <c r="X55" i="22"/>
  <c r="X54" i="22"/>
  <c r="X53" i="22"/>
  <c r="X52" i="22"/>
  <c r="X51" i="22"/>
  <c r="X50" i="22"/>
  <c r="X49" i="22"/>
  <c r="X48" i="22"/>
  <c r="X47" i="22"/>
  <c r="X46" i="22"/>
  <c r="X45" i="22"/>
  <c r="X44" i="22"/>
  <c r="X43" i="22"/>
  <c r="X42" i="22"/>
  <c r="X41" i="22"/>
  <c r="X40" i="22"/>
  <c r="X39" i="22"/>
  <c r="X38" i="22"/>
  <c r="X37" i="22"/>
  <c r="X36" i="22"/>
  <c r="X35" i="22"/>
  <c r="X34" i="22"/>
  <c r="X33" i="22"/>
  <c r="X32" i="22"/>
  <c r="X31" i="22"/>
  <c r="X30" i="22"/>
  <c r="X29" i="22"/>
  <c r="X28" i="22"/>
  <c r="X27" i="22"/>
  <c r="X26" i="22"/>
  <c r="X25" i="22"/>
  <c r="X24" i="22"/>
  <c r="X23" i="22"/>
  <c r="X22" i="22"/>
  <c r="X21" i="22"/>
  <c r="X20" i="22"/>
  <c r="X19" i="22"/>
  <c r="X18" i="22"/>
  <c r="X17" i="22"/>
  <c r="X16" i="22"/>
  <c r="X15" i="22"/>
  <c r="X14" i="22"/>
  <c r="X13" i="22"/>
  <c r="X12" i="22"/>
  <c r="X11" i="22"/>
  <c r="K11" i="8" a="1"/>
  <c r="K11" i="8" s="1"/>
  <c r="M11" i="8" s="1" a="1"/>
  <c r="M11" i="8" s="1"/>
  <c r="P20" i="10"/>
  <c r="P16" i="10"/>
  <c r="P18" i="10"/>
  <c r="O34" i="8"/>
  <c r="O33" i="8"/>
  <c r="L11" i="10" a="1"/>
  <c r="L11" i="10" s="1"/>
  <c r="N11" i="10" s="1" a="1"/>
  <c r="N11" i="10" s="1"/>
  <c r="O32" i="8"/>
  <c r="O31" i="8"/>
  <c r="O28" i="8"/>
  <c r="O25" i="8"/>
  <c r="O22" i="8"/>
  <c r="O19" i="8"/>
  <c r="O16" i="8"/>
  <c r="O30" i="8"/>
  <c r="O27" i="8"/>
  <c r="O24" i="8"/>
  <c r="O21" i="8"/>
  <c r="O18" i="8"/>
  <c r="O15" i="8"/>
  <c r="O13" i="10" a="1"/>
  <c r="O11" i="10" a="1"/>
  <c r="O12" i="10" a="1"/>
  <c r="N12" i="10" a="1"/>
  <c r="N13" i="10" a="1"/>
  <c r="O25" i="25" l="1"/>
  <c r="O31" i="25" s="1"/>
  <c r="O33" i="25" s="1"/>
  <c r="N25" i="25"/>
  <c r="N31" i="25" s="1"/>
  <c r="N33" i="25" s="1"/>
  <c r="M25" i="25"/>
  <c r="M31" i="25" s="1"/>
  <c r="M33" i="25" s="1"/>
  <c r="L25" i="25"/>
  <c r="L31" i="25" s="1"/>
  <c r="L33" i="25" s="1"/>
  <c r="K25" i="25"/>
  <c r="K31" i="25" s="1"/>
  <c r="K33" i="25" s="1"/>
  <c r="J25" i="25"/>
  <c r="J31" i="25" s="1"/>
  <c r="J33" i="25" s="1"/>
  <c r="I25" i="25"/>
  <c r="I31" i="25" s="1"/>
  <c r="I33" i="25" s="1"/>
  <c r="H25" i="25"/>
  <c r="H31" i="25" s="1"/>
  <c r="H33" i="25" s="1"/>
  <c r="G25" i="25"/>
  <c r="G31" i="25" s="1"/>
  <c r="G33" i="25" s="1"/>
  <c r="F25" i="25"/>
  <c r="F31" i="25" s="1"/>
  <c r="F33" i="25" s="1"/>
  <c r="D25" i="25"/>
  <c r="D31" i="25" s="1"/>
  <c r="C25" i="25"/>
  <c r="C31" i="25" s="1"/>
  <c r="E25" i="25"/>
  <c r="E31" i="25" s="1"/>
  <c r="B25" i="25"/>
  <c r="B31" i="25" s="1"/>
  <c r="W25" i="25"/>
  <c r="W31" i="25" s="1"/>
  <c r="X25" i="25"/>
  <c r="X31" i="25" s="1"/>
  <c r="U25" i="25"/>
  <c r="U31" i="25" s="1"/>
  <c r="V25" i="25"/>
  <c r="V31" i="25" s="1"/>
  <c r="T25" i="25"/>
  <c r="T31" i="25" s="1"/>
  <c r="R25" i="25"/>
  <c r="R31" i="25" s="1"/>
  <c r="R33" i="25" s="1"/>
  <c r="S25" i="25"/>
  <c r="S31" i="25" s="1"/>
  <c r="Q25" i="25"/>
  <c r="Q31" i="25" s="1"/>
  <c r="Q33" i="25" s="1"/>
  <c r="P25" i="25"/>
  <c r="P31" i="25" s="1"/>
  <c r="P33" i="25" s="1"/>
  <c r="Y31" i="25"/>
  <c r="B33" i="25"/>
  <c r="S33" i="25"/>
  <c r="B17" i="39" a="1"/>
  <c r="B17" i="39" s="1"/>
  <c r="C17" i="39" s="1"/>
  <c r="A26" i="39"/>
  <c r="A18" i="39" a="1"/>
  <c r="A18" i="39" s="1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O12" i="10"/>
  <c r="N13" i="10"/>
  <c r="N12" i="10"/>
  <c r="O11" i="10"/>
  <c r="O13" i="10"/>
  <c r="O14" i="8"/>
  <c r="O17" i="8"/>
  <c r="O20" i="8"/>
  <c r="O23" i="8"/>
  <c r="O26" i="8"/>
  <c r="O29" i="8"/>
  <c r="N12" i="8" a="1"/>
  <c r="N13" i="8" a="1"/>
  <c r="N11" i="8" a="1"/>
  <c r="M12" i="8" a="1"/>
  <c r="M13" i="8" a="1"/>
  <c r="B18" i="39" l="1" a="1"/>
  <c r="B18" i="39" s="1"/>
  <c r="C18" i="39" s="1"/>
  <c r="A27" i="39"/>
  <c r="A20" i="39" a="1"/>
  <c r="A20" i="39" s="1"/>
  <c r="A19" i="39" a="1"/>
  <c r="A19" i="39" s="1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P12" i="10"/>
  <c r="P11" i="10"/>
  <c r="M12" i="8"/>
  <c r="N12" i="8"/>
  <c r="M13" i="8"/>
  <c r="N11" i="8"/>
  <c r="N13" i="8"/>
  <c r="P13" i="10"/>
  <c r="B19" i="39" l="1" a="1"/>
  <c r="B19" i="39" s="1"/>
  <c r="C19" i="39" s="1"/>
  <c r="A28" i="39"/>
  <c r="B20" i="39" a="1"/>
  <c r="B20" i="39" s="1"/>
  <c r="C20" i="39" s="1"/>
  <c r="A29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O11" i="8"/>
  <c r="O12" i="8"/>
  <c r="O13" i="8"/>
  <c r="X29" i="39" l="1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X28" i="39"/>
  <c r="X31" i="39" s="1"/>
  <c r="W28" i="39"/>
  <c r="W31" i="39" s="1"/>
  <c r="V28" i="39"/>
  <c r="V31" i="39" s="1"/>
  <c r="U28" i="39"/>
  <c r="U31" i="39" s="1"/>
  <c r="T28" i="39"/>
  <c r="T31" i="39" s="1"/>
  <c r="T33" i="39" s="1"/>
  <c r="S28" i="39"/>
  <c r="S31" i="39" s="1"/>
  <c r="R28" i="39"/>
  <c r="R31" i="39" s="1"/>
  <c r="R33" i="39" s="1"/>
  <c r="Q28" i="39"/>
  <c r="Q31" i="39" s="1"/>
  <c r="Q33" i="39" s="1"/>
  <c r="P28" i="39"/>
  <c r="P31" i="39" s="1"/>
  <c r="P33" i="39" s="1"/>
  <c r="O28" i="39"/>
  <c r="O31" i="39" s="1"/>
  <c r="O33" i="39" s="1"/>
  <c r="N28" i="39"/>
  <c r="N31" i="39" s="1"/>
  <c r="N33" i="39" s="1"/>
  <c r="M28" i="39"/>
  <c r="M31" i="39" s="1"/>
  <c r="M33" i="39" s="1"/>
  <c r="L28" i="39"/>
  <c r="L31" i="39" s="1"/>
  <c r="L33" i="39" s="1"/>
  <c r="K28" i="39"/>
  <c r="K31" i="39" s="1"/>
  <c r="K33" i="39" s="1"/>
  <c r="J28" i="39"/>
  <c r="J31" i="39" s="1"/>
  <c r="J33" i="39" s="1"/>
  <c r="I28" i="39"/>
  <c r="I31" i="39" s="1"/>
  <c r="I33" i="39" s="1"/>
  <c r="H28" i="39"/>
  <c r="H31" i="39" s="1"/>
  <c r="H33" i="39" s="1"/>
  <c r="G28" i="39"/>
  <c r="G31" i="39" s="1"/>
  <c r="G33" i="39" s="1"/>
  <c r="F28" i="39"/>
  <c r="F31" i="39" s="1"/>
  <c r="F33" i="39" s="1"/>
  <c r="E28" i="39"/>
  <c r="E31" i="39" s="1"/>
  <c r="D28" i="39"/>
  <c r="D31" i="39" s="1"/>
  <c r="C28" i="39"/>
  <c r="C31" i="39" s="1"/>
  <c r="B28" i="39"/>
  <c r="B31" i="39" s="1"/>
  <c r="Y31" i="39" l="1"/>
  <c r="B33" i="3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<sst xmlns="http://schemas.openxmlformats.org/spreadsheetml/2006/main" count="6645" uniqueCount="786">
  <si>
    <t>Solutions</t>
  </si>
  <si>
    <t>Fertilizers</t>
  </si>
  <si>
    <t>Nutrients</t>
  </si>
  <si>
    <t>Elements</t>
  </si>
  <si>
    <t>Concentration Units</t>
  </si>
  <si>
    <t>Seasons</t>
  </si>
  <si>
    <t>Root Color</t>
  </si>
  <si>
    <t>Root Texture</t>
  </si>
  <si>
    <t>EC (min)</t>
  </si>
  <si>
    <t>N (%)</t>
  </si>
  <si>
    <t>N (ppm)</t>
  </si>
  <si>
    <t>N</t>
  </si>
  <si>
    <t>ppm</t>
  </si>
  <si>
    <t>Year-Round</t>
  </si>
  <si>
    <t>Unknown</t>
  </si>
  <si>
    <t>EC (max)</t>
  </si>
  <si>
    <t>P (%)</t>
  </si>
  <si>
    <t>P (ppm)</t>
  </si>
  <si>
    <t>P</t>
  </si>
  <si>
    <t>µM</t>
  </si>
  <si>
    <t>Spring</t>
  </si>
  <si>
    <t>White</t>
  </si>
  <si>
    <t>Firm</t>
  </si>
  <si>
    <t>pH (min)</t>
  </si>
  <si>
    <t>K (%)</t>
  </si>
  <si>
    <t>K (ppm)</t>
  </si>
  <si>
    <t>K</t>
  </si>
  <si>
    <t>Summer</t>
  </si>
  <si>
    <t>Off White</t>
  </si>
  <si>
    <t>Soft</t>
  </si>
  <si>
    <t>pH (max)</t>
  </si>
  <si>
    <t>Ca (%)</t>
  </si>
  <si>
    <t>Ca (ppm)</t>
  </si>
  <si>
    <t>Ca</t>
  </si>
  <si>
    <t>Fall</t>
  </si>
  <si>
    <t>Grayish</t>
  </si>
  <si>
    <t>Mushy</t>
  </si>
  <si>
    <t>Mg (%)</t>
  </si>
  <si>
    <t>Mg (ppm)</t>
  </si>
  <si>
    <t>Mg</t>
  </si>
  <si>
    <t>Winter</t>
  </si>
  <si>
    <t>Light Brown</t>
  </si>
  <si>
    <t>Slimey</t>
  </si>
  <si>
    <t>S (%)</t>
  </si>
  <si>
    <t>S (ppm)</t>
  </si>
  <si>
    <t>S</t>
  </si>
  <si>
    <t>Brown</t>
  </si>
  <si>
    <t>B (%)</t>
  </si>
  <si>
    <t>B (ppm)</t>
  </si>
  <si>
    <t>B</t>
  </si>
  <si>
    <t>Dark Brown</t>
  </si>
  <si>
    <t>Cu (%)</t>
  </si>
  <si>
    <t>Cu (ppm)</t>
  </si>
  <si>
    <t>Cu</t>
  </si>
  <si>
    <t>Blackish</t>
  </si>
  <si>
    <t>Fe (%)</t>
  </si>
  <si>
    <t>Fe (ppm)</t>
  </si>
  <si>
    <t>Fe</t>
  </si>
  <si>
    <t>Mn (%)</t>
  </si>
  <si>
    <t>Mn (ppm)</t>
  </si>
  <si>
    <t>Mn</t>
  </si>
  <si>
    <t>Mo (%)</t>
  </si>
  <si>
    <t>Mo (ppm)</t>
  </si>
  <si>
    <t>Mo</t>
  </si>
  <si>
    <t>Zn (%)</t>
  </si>
  <si>
    <t>Zn (ppm)</t>
  </si>
  <si>
    <t>Zn</t>
  </si>
  <si>
    <t>Ni (%)</t>
  </si>
  <si>
    <t>Ni (ppm)</t>
  </si>
  <si>
    <t>Ni</t>
  </si>
  <si>
    <t>Cl (%)</t>
  </si>
  <si>
    <t>Cl (ppm)</t>
  </si>
  <si>
    <t>Cl</t>
  </si>
  <si>
    <t>Na (%)</t>
  </si>
  <si>
    <t>Na (ppm)</t>
  </si>
  <si>
    <t>Na</t>
  </si>
  <si>
    <t>Si (%)</t>
  </si>
  <si>
    <t>Si (ppm)</t>
  </si>
  <si>
    <t>Si</t>
  </si>
  <si>
    <t>Co (%)</t>
  </si>
  <si>
    <t>Co (ppm)</t>
  </si>
  <si>
    <t>Co</t>
  </si>
  <si>
    <t>I (%)</t>
  </si>
  <si>
    <t>I (ppm)</t>
  </si>
  <si>
    <t>I</t>
  </si>
  <si>
    <t>Se (%)</t>
  </si>
  <si>
    <t>Se (ppm)</t>
  </si>
  <si>
    <t>Se</t>
  </si>
  <si>
    <t>Al (%)</t>
  </si>
  <si>
    <t>Al (ppm)</t>
  </si>
  <si>
    <t>Al</t>
  </si>
  <si>
    <t>1 ppm ≈ 1 mg/L in dilute aqueous solutions</t>
  </si>
  <si>
    <t>1 mg/L * g/mol = 1/1000 µM</t>
  </si>
  <si>
    <t>Potassium Oxide = Potash</t>
  </si>
  <si>
    <t>XLOOKUP("", Conversions[Key], Conversions[Multiply By])</t>
  </si>
  <si>
    <t>Key</t>
  </si>
  <si>
    <t>Ratio</t>
  </si>
  <si>
    <t>To (Value)</t>
  </si>
  <si>
    <t>To (Unit)</t>
  </si>
  <si>
    <t>To</t>
  </si>
  <si>
    <t>To (Name)</t>
  </si>
  <si>
    <t>From (Value)</t>
  </si>
  <si>
    <t>From (Unit)</t>
  </si>
  <si>
    <t>From</t>
  </si>
  <si>
    <t>From (Name)</t>
  </si>
  <si>
    <t>Multiply By</t>
  </si>
  <si>
    <t>Notes</t>
  </si>
  <si>
    <t>From (Source)</t>
  </si>
  <si>
    <t>To (Source)</t>
  </si>
  <si>
    <t>mg/L</t>
  </si>
  <si>
    <t>Aluminum</t>
  </si>
  <si>
    <t>~ppm</t>
  </si>
  <si>
    <t>1/1000 micromolars = 1 micrograms/L * g/mol</t>
  </si>
  <si>
    <t>Standard atomic weights of the elements 2021 (IUPAC Technical Report)</t>
  </si>
  <si>
    <t>Boron</t>
  </si>
  <si>
    <t>Calcium</t>
  </si>
  <si>
    <t>Chlorine</t>
  </si>
  <si>
    <t>Cobalt</t>
  </si>
  <si>
    <t>Copper</t>
  </si>
  <si>
    <t>Iron</t>
  </si>
  <si>
    <t>Iodine</t>
  </si>
  <si>
    <t>Potassium</t>
  </si>
  <si>
    <t>Magnesium</t>
  </si>
  <si>
    <t>Manganese</t>
  </si>
  <si>
    <t>Molybdenum</t>
  </si>
  <si>
    <t>Nitrogen</t>
  </si>
  <si>
    <t>Sodium</t>
  </si>
  <si>
    <t>Nickel</t>
  </si>
  <si>
    <t>Phosphorus</t>
  </si>
  <si>
    <t>Sulfur</t>
  </si>
  <si>
    <t>Selenium</t>
  </si>
  <si>
    <t>Silicon</t>
  </si>
  <si>
    <t>Zinc</t>
  </si>
  <si>
    <t>Parts-Per-Million</t>
  </si>
  <si>
    <t>%</t>
  </si>
  <si>
    <t>Percent</t>
  </si>
  <si>
    <t>g/mol</t>
  </si>
  <si>
    <t>K₂O</t>
  </si>
  <si>
    <t>Potassium Oxide</t>
  </si>
  <si>
    <t>NH₄</t>
  </si>
  <si>
    <t>Ammonium</t>
  </si>
  <si>
    <t>NO₃</t>
  </si>
  <si>
    <t>Nitrate</t>
  </si>
  <si>
    <t>P₂O₅</t>
  </si>
  <si>
    <t>Phosphorus Pentoxide</t>
  </si>
  <si>
    <t>SO₄²⁻</t>
  </si>
  <si>
    <t>Sulfate Ion</t>
  </si>
  <si>
    <t>Id</t>
  </si>
  <si>
    <t>Group</t>
  </si>
  <si>
    <t>Type</t>
  </si>
  <si>
    <t>Name</t>
  </si>
  <si>
    <t>Description</t>
  </si>
  <si>
    <t>Link to Steps</t>
  </si>
  <si>
    <t>1</t>
  </si>
  <si>
    <t>pH Adjustments</t>
  </si>
  <si>
    <t>default-ph</t>
  </si>
  <si>
    <t>General Hydroponics pH Up Adjustment</t>
  </si>
  <si>
    <t>2</t>
  </si>
  <si>
    <t>Seed Scarification</t>
  </si>
  <si>
    <t>default-ss</t>
  </si>
  <si>
    <t>3% H2O2 Seed Scarification</t>
  </si>
  <si>
    <t>3</t>
  </si>
  <si>
    <t>Water Sterilization</t>
  </si>
  <si>
    <t>default-ws</t>
  </si>
  <si>
    <t>Added 3% H2O2 for O2</t>
  </si>
  <si>
    <t>Cube</t>
  </si>
  <si>
    <t>Cylinder</t>
  </si>
  <si>
    <t>Vase</t>
  </si>
  <si>
    <t>Jar</t>
  </si>
  <si>
    <t>Volume (mL)</t>
  </si>
  <si>
    <t>Shape</t>
  </si>
  <si>
    <t>Tapered Top</t>
  </si>
  <si>
    <t>Outer Width (mm)</t>
  </si>
  <si>
    <t>Outer Height (mm)</t>
  </si>
  <si>
    <t>Inner Lid Diameter (mm)</t>
  </si>
  <si>
    <t>Half-Gallon Ball Mason Jar</t>
  </si>
  <si>
    <t>1892.7</t>
  </si>
  <si>
    <t>Cylindrical Olive Jar</t>
  </si>
  <si>
    <t>371</t>
  </si>
  <si>
    <t>0</t>
  </si>
  <si>
    <t>69</t>
  </si>
  <si>
    <t>110</t>
  </si>
  <si>
    <t>55</t>
  </si>
  <si>
    <t>Jelly Jar, Cube Shape</t>
  </si>
  <si>
    <t>Stonewall Kitchen Wild Maine Blueberry Jam</t>
  </si>
  <si>
    <t>354</t>
  </si>
  <si>
    <t>72</t>
  </si>
  <si>
    <t>96</t>
  </si>
  <si>
    <t>53</t>
  </si>
  <si>
    <t>Smucker's Sugar Free Jam Jar</t>
  </si>
  <si>
    <t>361</t>
  </si>
  <si>
    <t>70</t>
  </si>
  <si>
    <t>125</t>
  </si>
  <si>
    <t>50</t>
  </si>
  <si>
    <t>Dr. Schroeder's 250ml Jar</t>
  </si>
  <si>
    <t>250</t>
  </si>
  <si>
    <t>All values are percentages.</t>
  </si>
  <si>
    <t>Urea</t>
  </si>
  <si>
    <t>Available Phosphate</t>
  </si>
  <si>
    <t>Soluble Potash</t>
  </si>
  <si>
    <t>Fertilizer</t>
  </si>
  <si>
    <t>Updated</t>
  </si>
  <si>
    <t>Chemical Formula</t>
  </si>
  <si>
    <t>Hazard Statements</t>
  </si>
  <si>
    <t>Molar Mass (g/mol)</t>
  </si>
  <si>
    <t>NO₃ (%)</t>
  </si>
  <si>
    <t>C:NH₄ (%)</t>
  </si>
  <si>
    <t>Total N (%)</t>
  </si>
  <si>
    <t>NO₃ (%/N)</t>
  </si>
  <si>
    <t>NH₄ (%/N)</t>
  </si>
  <si>
    <t>CO(NH₂)₂ (%/N)</t>
  </si>
  <si>
    <t>P₂O₅ (%)</t>
  </si>
  <si>
    <t>K₂O (%)</t>
  </si>
  <si>
    <t>Monopotassium Phosphate</t>
  </si>
  <si>
    <t>2026-10-10</t>
  </si>
  <si>
    <t>KH₂PO₄</t>
  </si>
  <si>
    <t>Warning. Irritant: causes skin irritation, causes serious eye irritation.</t>
  </si>
  <si>
    <t>Potassium Chloride</t>
  </si>
  <si>
    <t>KCl</t>
  </si>
  <si>
    <t>Non-Hazardous</t>
  </si>
  <si>
    <t>Potassium Silicate</t>
  </si>
  <si>
    <t>K₂SiO₃</t>
  </si>
  <si>
    <t>Danger: corrosive, irritant.</t>
  </si>
  <si>
    <t>Potassium Sulfate</t>
  </si>
  <si>
    <t>K₂SO₄</t>
  </si>
  <si>
    <t>Warning: irritant.</t>
  </si>
  <si>
    <t>Potassium Nitrate</t>
  </si>
  <si>
    <t>KNO₃</t>
  </si>
  <si>
    <t>Warning: oxidizer, irritant.</t>
  </si>
  <si>
    <t>Calcium Nitrate</t>
  </si>
  <si>
    <t>Calcium Nitrate Tetrahydrate</t>
  </si>
  <si>
    <t>Ca(NO₃)₂ · 4H₂O</t>
  </si>
  <si>
    <t>Danger: oxidizer, corrosive, irritant.</t>
  </si>
  <si>
    <t>Epsom Salt</t>
  </si>
  <si>
    <t>Magnesium Sulfate Heptahydrate</t>
  </si>
  <si>
    <t>MgSO₄ · 7H₂O</t>
  </si>
  <si>
    <t>12-4-16</t>
  </si>
  <si>
    <t>Jack's Nutrients 12-4-16 RO</t>
  </si>
  <si>
    <t xml:space="preserve"> </t>
  </si>
  <si>
    <t>10-5-14</t>
  </si>
  <si>
    <t>GH MaxiGro 10-5-14</t>
  </si>
  <si>
    <t>Silicone</t>
  </si>
  <si>
    <t>Source</t>
  </si>
  <si>
    <t>Unit</t>
  </si>
  <si>
    <t>Modified Sonneveld's Solution</t>
  </si>
  <si>
    <t>Modified Sonneveld's Solution from Mattson N. &amp; Peters, C. "A Recipe for Hydroponic Success"</t>
  </si>
  <si>
    <t>0.023</t>
  </si>
  <si>
    <t>0.024</t>
  </si>
  <si>
    <t>For</t>
  </si>
  <si>
    <t>Solution</t>
  </si>
  <si>
    <t>Season</t>
  </si>
  <si>
    <t>Active</t>
  </si>
  <si>
    <t>Nutrient</t>
  </si>
  <si>
    <t>Adjust By</t>
  </si>
  <si>
    <t>Ocimum basilicum</t>
  </si>
  <si>
    <t>Modified Hoagland nutrient solution from Taiz et al. 2022 "Plant Physiology and Development"</t>
  </si>
  <si>
    <t>Lactuca sativa</t>
  </si>
  <si>
    <t>e-Gro publication (nutritional monitoring series vol 1 No 14 April 2018)</t>
  </si>
  <si>
    <t>Hydroponic Nutrient Solution Calculator</t>
  </si>
  <si>
    <t>Adapted from the University of Missouri Extension calculator (J. Cabrera-Garcia &amp; R. Milhollin, 1/2026; see MU Extension g6984).</t>
  </si>
  <si>
    <t>Fertilizer ppm: ppm of N supplied = grams x %N x 10 / liters. The Fertilizers sheet analysis columns are ppm of each element delivered when the fertilizer supplies 100 ppm N, so ppm of an element = ppm N supplied x (value / 100).</t>
  </si>
  <si>
    <t>Crop requirement: average of every row for the crop in the Nutrients sheet (blank cells ignored), the same averaging the Nutrients sheet uses for N, P and K. Urea, ammonium-N and nitrate-N have no crop requirement.</t>
  </si>
  <si>
    <t>Water test sulfate (SO4) is converted to S with the ratio above before it is added to the S column. Row heights and the dropdown lists follow the Nutrients and Fertilizers tables as they grow.</t>
  </si>
  <si>
    <t>Crop</t>
  </si>
  <si>
    <t>Volume (L)</t>
  </si>
  <si>
    <t>CAUTION: Precipitation of incompatible salts at high concentrations.</t>
  </si>
  <si>
    <t>Target PPM</t>
  </si>
  <si>
    <t>Amount (g)</t>
  </si>
  <si>
    <t>Fertilizer (g/L)</t>
  </si>
  <si>
    <t>Cobolt</t>
  </si>
  <si>
    <t>Nutrient Concentration (ppm)</t>
  </si>
  <si>
    <t>Total N</t>
  </si>
  <si>
    <t>Ammonium-N</t>
  </si>
  <si>
    <t>Nitrate-N</t>
  </si>
  <si>
    <t>K/N</t>
  </si>
  <si>
    <t>Nutrients Already in Water</t>
  </si>
  <si>
    <t>Nutrients Provided by Fertilizers</t>
  </si>
  <si>
    <t>Nutrients Required by Crop</t>
  </si>
  <si>
    <t>% of Requirement (100% = met)</t>
  </si>
  <si>
    <t>Water test report concentration</t>
  </si>
  <si>
    <t>Enter ppm from water report (0 if none)</t>
  </si>
  <si>
    <t>Alkalinity (as CaCO₃)</t>
  </si>
  <si>
    <t>pH</t>
  </si>
  <si>
    <t>EC (dS/m)</t>
  </si>
  <si>
    <t>Genus species</t>
  </si>
  <si>
    <t>Quality Control</t>
  </si>
  <si>
    <t>Seed</t>
  </si>
  <si>
    <t>Scientific Name</t>
  </si>
  <si>
    <t>Common Name</t>
  </si>
  <si>
    <t>Brand Name</t>
  </si>
  <si>
    <t>Variety</t>
  </si>
  <si>
    <t>Color</t>
  </si>
  <si>
    <t>QC Testing Designation</t>
  </si>
  <si>
    <t>Organic</t>
  </si>
  <si>
    <t>Pelleted</t>
  </si>
  <si>
    <t>Days Until Germination (min)</t>
  </si>
  <si>
    <t>Days Until Germination (max)</t>
  </si>
  <si>
    <t>Days Until Maturity</t>
  </si>
  <si>
    <t>Disease Resistance</t>
  </si>
  <si>
    <t>Link</t>
  </si>
  <si>
    <t>3059JP.65</t>
  </si>
  <si>
    <t>Red Oakleaf Lettuce</t>
  </si>
  <si>
    <t>SC Salanova Brand Lettuce</t>
  </si>
  <si>
    <t>Xandra</t>
  </si>
  <si>
    <t>Red</t>
  </si>
  <si>
    <t>Oakleaf</t>
  </si>
  <si>
    <t>MT0</t>
  </si>
  <si>
    <t>OG</t>
  </si>
  <si>
    <t>Downy Mildew (High), Lettuce Leaf Aphid Nasonovia ribisnigri (High)</t>
  </si>
  <si>
    <t>https://www.johnnyseeds.com/vegetables/lettuce/salanova-lettuce/salanova-premier-collection-pelleted-lettuce-seed-3073JP.html</t>
  </si>
  <si>
    <t>3057JP.65</t>
  </si>
  <si>
    <t>Red Butter Lettuce</t>
  </si>
  <si>
    <t>Davinci</t>
  </si>
  <si>
    <t>Butter</t>
  </si>
  <si>
    <t xml:space="preserve">MT0 </t>
  </si>
  <si>
    <t>3058JP.65</t>
  </si>
  <si>
    <t>Green Oakleaf Lettuce</t>
  </si>
  <si>
    <t>Cousteau</t>
  </si>
  <si>
    <t>Green</t>
  </si>
  <si>
    <t>3056JP.65</t>
  </si>
  <si>
    <t>Green Butter Lettuce</t>
  </si>
  <si>
    <t>Higgs</t>
  </si>
  <si>
    <t>2178GP.53</t>
  </si>
  <si>
    <t>Nufar Basil</t>
  </si>
  <si>
    <t>Large Leaf Basil</t>
  </si>
  <si>
    <t>Nufar</t>
  </si>
  <si>
    <t>5</t>
  </si>
  <si>
    <t>10</t>
  </si>
  <si>
    <t>42</t>
  </si>
  <si>
    <t>Fusarium Wilt (Intermediate)</t>
  </si>
  <si>
    <t>Shortened 'Days Until Maturity' from 74 to 42 for the first harvest.</t>
  </si>
  <si>
    <t>https://www.johnnyseeds.com/herbs/basil/italian-large-leaf-basil/nufar-organic-pelleted-basil-seed-2178GP.html</t>
  </si>
  <si>
    <t>Measure 1st</t>
  </si>
  <si>
    <t>Measure 2nd</t>
  </si>
  <si>
    <t>After Death</t>
  </si>
  <si>
    <t>=IF(@[Jar Type]="", "", TEXT(XLOOKUP([@[Jar Type]], 'Containers'!A:A, 'Containers'!C:C), "General"))</t>
  </si>
  <si>
    <t>...</t>
  </si>
  <si>
    <t>=IF(@[Jar Type]="", "", TEXT(IFERROR(MEDIAN(FILTER(VALUE([Water Added (mL)]), ([Jar Purpose]=[@[Jar Purpose]])*([Jar Type]=[@[Jar Type]])*([Additional Water Added]="1"))), 0), "0000"))</t>
  </si>
  <si>
    <t>==IF(@[Jar Type]="", "", TEXT(IFERROR(MEDIAN(FILTER(VALUE([Water Added (mL)]), ([Jar Purpose]=[@[Jar Purpose]])*([Jar Type]=[@[Jar Type]])*([Additional Water Added]="0"))), 0), "0000"))</t>
  </si>
  <si>
    <t>=IF(@[Jar]="", "", IFERROR(IFERROR(XLOOKUP(@[Jar], Growing[Growing Jar], Growing[Status]), XLOOKUP(@[Jar], Growing[Seeding Jar], Growing[Status])), ""))</t>
  </si>
  <si>
    <t>Jar Type</t>
  </si>
  <si>
    <t>Jar Name</t>
  </si>
  <si>
    <t>Jar Purpose</t>
  </si>
  <si>
    <t>Jar Size (mL)</t>
  </si>
  <si>
    <t>Autoclaved</t>
  </si>
  <si>
    <t>Date Made</t>
  </si>
  <si>
    <t>Water Type</t>
  </si>
  <si>
    <t>Expected Water (min, mL)</t>
  </si>
  <si>
    <t>Expected Water (max, mL)</t>
  </si>
  <si>
    <t>Water Added (mL)</t>
  </si>
  <si>
    <t>Water Level from Top (mm)</t>
  </si>
  <si>
    <t>Target PPM Nitrogen</t>
  </si>
  <si>
    <t>Fertilizer Added (g)</t>
  </si>
  <si>
    <t>pH Procedure</t>
  </si>
  <si>
    <t>Initial pH</t>
  </si>
  <si>
    <t>Initial EC (μS)</t>
  </si>
  <si>
    <t>Growing Status</t>
  </si>
  <si>
    <t>Additional Water Added (mL)</t>
  </si>
  <si>
    <t>Additional Fertilizer Added (g)</t>
  </si>
  <si>
    <t>Fertilizer Added Date</t>
  </si>
  <si>
    <t>Total Water Added (mL)</t>
  </si>
  <si>
    <t>Total Fertilizer Added (g)</t>
  </si>
  <si>
    <t>Final pH</t>
  </si>
  <si>
    <t>Final EC (μS)</t>
  </si>
  <si>
    <t>Exterior</t>
  </si>
  <si>
    <t>Shade</t>
  </si>
  <si>
    <t>Romaine Calm</t>
  </si>
  <si>
    <t>Seeding &amp; Growing</t>
  </si>
  <si>
    <t>2026-05-22</t>
  </si>
  <si>
    <t>Distilled</t>
  </si>
  <si>
    <t>1750</t>
  </si>
  <si>
    <t>1.48</t>
  </si>
  <si>
    <t>5.75</t>
  </si>
  <si>
    <t>1040</t>
  </si>
  <si>
    <t>None</t>
  </si>
  <si>
    <t>6.50</t>
  </si>
  <si>
    <t>507</t>
  </si>
  <si>
    <t>1 Brown Paper Bag</t>
  </si>
  <si>
    <t>1 Sheet Cardboard</t>
  </si>
  <si>
    <t>Leaf Quickly</t>
  </si>
  <si>
    <t>1011</t>
  </si>
  <si>
    <t>504</t>
  </si>
  <si>
    <t>Toss Boss</t>
  </si>
  <si>
    <t>1700</t>
  </si>
  <si>
    <t>1.11</t>
  </si>
  <si>
    <t>5.25</t>
  </si>
  <si>
    <t>683</t>
  </si>
  <si>
    <t>6.00</t>
  </si>
  <si>
    <t>366</t>
  </si>
  <si>
    <t>4</t>
  </si>
  <si>
    <t>Lettuce Bee Bold</t>
  </si>
  <si>
    <t>1.44</t>
  </si>
  <si>
    <t>1045</t>
  </si>
  <si>
    <t>Dressed for Success</t>
  </si>
  <si>
    <t>2026-05-29</t>
  </si>
  <si>
    <t>1.39</t>
  </si>
  <si>
    <t>937</t>
  </si>
  <si>
    <t>994</t>
  </si>
  <si>
    <t>6</t>
  </si>
  <si>
    <t>Chop Chop Real Smooth</t>
  </si>
  <si>
    <t>2026-06-03</t>
  </si>
  <si>
    <t>1.40</t>
  </si>
  <si>
    <t>941</t>
  </si>
  <si>
    <t>525</t>
  </si>
  <si>
    <t>7</t>
  </si>
  <si>
    <t>Duck Duck Produce!</t>
  </si>
  <si>
    <t>1.43</t>
  </si>
  <si>
    <t>1017</t>
  </si>
  <si>
    <t>526</t>
  </si>
  <si>
    <t>8</t>
  </si>
  <si>
    <t>Home Sill Home</t>
  </si>
  <si>
    <t>1.37</t>
  </si>
  <si>
    <t>968</t>
  </si>
  <si>
    <t>495</t>
  </si>
  <si>
    <t>9</t>
  </si>
  <si>
    <t>Mr. Green, in the Hall, with the Jar (candlestick)</t>
  </si>
  <si>
    <t>1.49</t>
  </si>
  <si>
    <t>1114</t>
  </si>
  <si>
    <t>6.25</t>
  </si>
  <si>
    <t>441</t>
  </si>
  <si>
    <t>Added DI water to elevate the water level for evaporation during a hot week.</t>
  </si>
  <si>
    <t>These are a few of my favorite things</t>
  </si>
  <si>
    <t>2026-06-12</t>
  </si>
  <si>
    <t>1050</t>
  </si>
  <si>
    <t>11</t>
  </si>
  <si>
    <t>You're the Best! A Crown!</t>
  </si>
  <si>
    <t>1043</t>
  </si>
  <si>
    <t>399</t>
  </si>
  <si>
    <t>12</t>
  </si>
  <si>
    <t>Breakfast and Move Things</t>
  </si>
  <si>
    <t>1.41</t>
  </si>
  <si>
    <t>1066</t>
  </si>
  <si>
    <t>13</t>
  </si>
  <si>
    <t>Dancing on my Shelf</t>
  </si>
  <si>
    <t>1.80</t>
  </si>
  <si>
    <t>1290</t>
  </si>
  <si>
    <t>493</t>
  </si>
  <si>
    <t>14</t>
  </si>
  <si>
    <t>Look Out and-Grow!</t>
  </si>
  <si>
    <t>2026-06-17</t>
  </si>
  <si>
    <t>Skipped</t>
  </si>
  <si>
    <t>333</t>
  </si>
  <si>
    <t>15</t>
  </si>
  <si>
    <t>Green Queen</t>
  </si>
  <si>
    <t>5.00</t>
  </si>
  <si>
    <t>963</t>
  </si>
  <si>
    <t>16</t>
  </si>
  <si>
    <t>My Cat Ate My Lettuce</t>
  </si>
  <si>
    <t>1.55</t>
  </si>
  <si>
    <t>907</t>
  </si>
  <si>
    <t>17</t>
  </si>
  <si>
    <t>Buddy</t>
  </si>
  <si>
    <t>1.57</t>
  </si>
  <si>
    <t>5.50</t>
  </si>
  <si>
    <t>1087</t>
  </si>
  <si>
    <t>Added DI water to elevate the water level for evaporation during a hot week. Plant was started during a heat wave and ran out of water in the medium before the roots extended.</t>
  </si>
  <si>
    <t>18</t>
  </si>
  <si>
    <t>Goose</t>
  </si>
  <si>
    <t>Growing</t>
  </si>
  <si>
    <t>2026-08-27</t>
  </si>
  <si>
    <t>Milli-Q</t>
  </si>
  <si>
    <t>1.77</t>
  </si>
  <si>
    <t>1232</t>
  </si>
  <si>
    <t>19</t>
  </si>
  <si>
    <t>Duck</t>
  </si>
  <si>
    <t>1650</t>
  </si>
  <si>
    <t>1.72</t>
  </si>
  <si>
    <t>1230</t>
  </si>
  <si>
    <t>20</t>
  </si>
  <si>
    <t>1600</t>
  </si>
  <si>
    <t>1.67</t>
  </si>
  <si>
    <t>1231</t>
  </si>
  <si>
    <t>21</t>
  </si>
  <si>
    <t>1550</t>
  </si>
  <si>
    <t>1.64</t>
  </si>
  <si>
    <t>1257</t>
  </si>
  <si>
    <t>22</t>
  </si>
  <si>
    <t>2026-08-28</t>
  </si>
  <si>
    <t>1.83</t>
  </si>
  <si>
    <t>1237</t>
  </si>
  <si>
    <t>23</t>
  </si>
  <si>
    <t>Seeding</t>
  </si>
  <si>
    <t>275</t>
  </si>
  <si>
    <t>0.23</t>
  </si>
  <si>
    <t>24</t>
  </si>
  <si>
    <t>2026-09-01</t>
  </si>
  <si>
    <t>1775</t>
  </si>
  <si>
    <t>25</t>
  </si>
  <si>
    <t>2026-09-04</t>
  </si>
  <si>
    <t>0.17</t>
  </si>
  <si>
    <t>1 Nitrile Glove (s)</t>
  </si>
  <si>
    <t>26</t>
  </si>
  <si>
    <t>1800</t>
  </si>
  <si>
    <t>1.87</t>
  </si>
  <si>
    <t>1287</t>
  </si>
  <si>
    <t>27</t>
  </si>
  <si>
    <t>1270</t>
  </si>
  <si>
    <t>2026-10-02</t>
  </si>
  <si>
    <t>28</t>
  </si>
  <si>
    <t>You've Made it this Jar</t>
  </si>
  <si>
    <t>1.71</t>
  </si>
  <si>
    <t>1248</t>
  </si>
  <si>
    <t>Added a small amount of water so the seedling's roots touched.</t>
  </si>
  <si>
    <t>29</t>
  </si>
  <si>
    <t>Shining so Bright, We Grow Upright</t>
  </si>
  <si>
    <t>1.66</t>
  </si>
  <si>
    <t>1288</t>
  </si>
  <si>
    <t>30</t>
  </si>
  <si>
    <t>1.61</t>
  </si>
  <si>
    <t>1268</t>
  </si>
  <si>
    <t>31</t>
  </si>
  <si>
    <t>1500</t>
  </si>
  <si>
    <t>1.54</t>
  </si>
  <si>
    <t>1275</t>
  </si>
  <si>
    <t>32</t>
  </si>
  <si>
    <t>2026-09-11</t>
  </si>
  <si>
    <t>33.1</t>
  </si>
  <si>
    <t>2026-09-16</t>
  </si>
  <si>
    <t>175</t>
  </si>
  <si>
    <t>1 Nitrile Glove (m)</t>
  </si>
  <si>
    <t>Not enough water. Too much evaporated.</t>
  </si>
  <si>
    <t>34.1</t>
  </si>
  <si>
    <t>35.1</t>
  </si>
  <si>
    <t>33.2</t>
  </si>
  <si>
    <t>2026-09-24</t>
  </si>
  <si>
    <t>200</t>
  </si>
  <si>
    <t>34.2</t>
  </si>
  <si>
    <t>195</t>
  </si>
  <si>
    <t>35.2</t>
  </si>
  <si>
    <t>190</t>
  </si>
  <si>
    <t>36</t>
  </si>
  <si>
    <t>2026-09-29</t>
  </si>
  <si>
    <t>37</t>
  </si>
  <si>
    <t>38</t>
  </si>
  <si>
    <t>.28</t>
  </si>
  <si>
    <t>5.5</t>
  </si>
  <si>
    <t>1244</t>
  </si>
  <si>
    <t>39</t>
  </si>
  <si>
    <t>295</t>
  </si>
  <si>
    <t>.30</t>
  </si>
  <si>
    <t>6.0</t>
  </si>
  <si>
    <t>1210</t>
  </si>
  <si>
    <t>40</t>
  </si>
  <si>
    <t>.24</t>
  </si>
  <si>
    <t>6.5</t>
  </si>
  <si>
    <t>1135</t>
  </si>
  <si>
    <t>Fertilizer Added</t>
  </si>
  <si>
    <t>Final EC (μS/cm)</t>
  </si>
  <si>
    <t>Water Added?</t>
  </si>
  <si>
    <t>C:Total Fertilizer Added (g)</t>
  </si>
  <si>
    <t>Aditional</t>
  </si>
  <si>
    <t>Superb Herb</t>
  </si>
  <si>
    <t>Best o' Pesto</t>
  </si>
  <si>
    <t>Single glove allowed too much water to evaporate and the growing medium dryed out.</t>
  </si>
  <si>
    <t>2 Nitrile Gloves (m)</t>
  </si>
  <si>
    <t>*Denotes Reused Jar</t>
  </si>
  <si>
    <t>IMPORTANT: Keep track of which net cup was transferred into which growing jar!</t>
  </si>
  <si>
    <t>Measure from bottom of net cup</t>
  </si>
  <si>
    <t>Single Harvest</t>
  </si>
  <si>
    <t>Uniform Growth</t>
  </si>
  <si>
    <t>Cut-and-Come-Again</t>
  </si>
  <si>
    <t>Sparse Branching</t>
  </si>
  <si>
    <t>White-Brown</t>
  </si>
  <si>
    <t>Coiled Roots</t>
  </si>
  <si>
    <t>Light/Dark Brown</t>
  </si>
  <si>
    <t>=IF(@[Growing Jar]="None", "None", IF(@[Growing Jar]="", "", XLOOKUP(@[Growing Jar],'Kratky Jars'!A:A,'Kratky Jars'!B:B)))</t>
  </si>
  <si>
    <t>=IF(@[Actual Germination]="", "", IF(@[Actual Germination]="None", "None", IF(@[Actual Germination]="Unknown", "Unknown", TEXT(@[Actual Germination]+XLOOKUP(@[Seed],Seeds!A:A,Seeds!H:H),"yyyy-MM-dd"))))</t>
  </si>
  <si>
    <t>Seeding Jar</t>
  </si>
  <si>
    <t>Growing Jar</t>
  </si>
  <si>
    <t>Growing Jar Name</t>
  </si>
  <si>
    <t>Date Seeded</t>
  </si>
  <si>
    <t>Net Cup (in)</t>
  </si>
  <si>
    <t>Growing Medium</t>
  </si>
  <si>
    <t>3% H2O2 Scarification?</t>
  </si>
  <si>
    <t>Expected Germination</t>
  </si>
  <si>
    <t>Actual Germination</t>
  </si>
  <si>
    <t>Transplant Root Length (mm)</t>
  </si>
  <si>
    <t>Transplant Date</t>
  </si>
  <si>
    <t>Added 3% H202 for O2?</t>
  </si>
  <si>
    <t>Expected Harvest</t>
  </si>
  <si>
    <t>Harvest Method</t>
  </si>
  <si>
    <t>Date of 1st Harvest</t>
  </si>
  <si>
    <t>Harvest Weight (1st, g)</t>
  </si>
  <si>
    <t>Number of +Leaves (1st)</t>
  </si>
  <si>
    <t>Number of -Leaves (1st)</t>
  </si>
  <si>
    <t>Date of 2nd Harvest</t>
  </si>
  <si>
    <t>Harvest Weight (2nd, g)</t>
  </si>
  <si>
    <t>Number of +Leaves (2nd)</t>
  </si>
  <si>
    <t>Number of -Leaves (2nd)</t>
  </si>
  <si>
    <t>Date Terminated</t>
  </si>
  <si>
    <t>Stopped Reason</t>
  </si>
  <si>
    <t>Stem Diameter (1st, mm)</t>
  </si>
  <si>
    <t>Stem Diameter (2nd, mm)</t>
  </si>
  <si>
    <t>Root Branching</t>
  </si>
  <si>
    <t>pH After Death</t>
  </si>
  <si>
    <t>EC After Death (μS)</t>
  </si>
  <si>
    <t>Peat Moss + Clay Pebbles</t>
  </si>
  <si>
    <t>2026-07-12</t>
  </si>
  <si>
    <t>2026-07-26</t>
  </si>
  <si>
    <t>Harvest, Root Rot</t>
  </si>
  <si>
    <t>A full head of lettuce was harvested. Plant was harvested using the cut and come again method.</t>
  </si>
  <si>
    <t>Harvest</t>
  </si>
  <si>
    <t>A full head of lettuce was harvested. Plant showed signs of root rot and growing was stopped.</t>
  </si>
  <si>
    <t>Root Rot</t>
  </si>
  <si>
    <t>Plant was succumbing to root rot and was removed.</t>
  </si>
  <si>
    <t>Rock Wool + Clay Pebbles + Cotton Balls for wicking, removed</t>
  </si>
  <si>
    <t>2026-08-09</t>
  </si>
  <si>
    <t>62</t>
  </si>
  <si>
    <t>Rock Wool + Clay Pebbles</t>
  </si>
  <si>
    <t>2026-08-16</t>
  </si>
  <si>
    <t>52</t>
  </si>
  <si>
    <t>Roots were in poor health after a particularly hot week.</t>
  </si>
  <si>
    <t>43</t>
  </si>
  <si>
    <t>Added DI water to elevate the water level for evaporation during a hot week. A full head of lettuce was harvested. Plant showed signs of root rot and growing was stopped.</t>
  </si>
  <si>
    <t>Vermiculite + Coconut Fiber</t>
  </si>
  <si>
    <t>2026-08-23</t>
  </si>
  <si>
    <t>Perlite</t>
  </si>
  <si>
    <t>Perlite + Coconut Fiber</t>
  </si>
  <si>
    <t>59</t>
  </si>
  <si>
    <t>Pumice + Vermiculite</t>
  </si>
  <si>
    <t>Pumice + Perlite</t>
  </si>
  <si>
    <t>2026-07-14</t>
  </si>
  <si>
    <t>Death</t>
  </si>
  <si>
    <t>Added DI water to elevate the water level for evaporation during a hot week. Growing algae. Added aluminum foil around the base of the plant to block out light. Plant burnt or suffocated.</t>
  </si>
  <si>
    <t>Vermiculite</t>
  </si>
  <si>
    <t>Added DI water to elevate the water level for evaporation during a hot week. Roots were in poor health after a particularly hot week.</t>
  </si>
  <si>
    <t>Peat Moss + Gravel</t>
  </si>
  <si>
    <t>2026-09-02</t>
  </si>
  <si>
    <t>2026-09-08</t>
  </si>
  <si>
    <t>Peat Moss + Pumice</t>
  </si>
  <si>
    <t>2026-09-06</t>
  </si>
  <si>
    <t>2026-09-14</t>
  </si>
  <si>
    <t>23*</t>
  </si>
  <si>
    <t>100</t>
  </si>
  <si>
    <t>2026-09-21</t>
  </si>
  <si>
    <t>25*</t>
  </si>
  <si>
    <t>2026-09-22</t>
  </si>
  <si>
    <t>Added ~20mL milli-Q water to elevate water level to reach transplanted plant roots.</t>
  </si>
  <si>
    <t>Normal</t>
  </si>
  <si>
    <t>Bitter</t>
  </si>
  <si>
    <t>Discoloration</t>
  </si>
  <si>
    <t>Volume Less Than 50%</t>
  </si>
  <si>
    <t>Date Harvested</t>
  </si>
  <si>
    <t>Plant</t>
  </si>
  <si>
    <t>Drying Procedure</t>
  </si>
  <si>
    <t>Taste</t>
  </si>
  <si>
    <t>Storage Media</t>
  </si>
  <si>
    <t>Storage Location</t>
  </si>
  <si>
    <t>Date First Wilted</t>
  </si>
  <si>
    <t>Date of Spoilage</t>
  </si>
  <si>
    <t>Spoilage Reason</t>
  </si>
  <si>
    <t>Lettuce</t>
  </si>
  <si>
    <t>Salad spinner + rest between paper towels for 1 hour.</t>
  </si>
  <si>
    <t>In an open plastic bag with a paper towel</t>
  </si>
  <si>
    <t>Fridge Shelf</t>
  </si>
  <si>
    <t>2026-07-17</t>
  </si>
  <si>
    <t>Basil</t>
  </si>
  <si>
    <t>In a brown paper bag that's folded down</t>
  </si>
  <si>
    <t>In aluminum foil</t>
  </si>
  <si>
    <t>2026-07-19</t>
  </si>
  <si>
    <t>In an airtight jar full of water</t>
  </si>
  <si>
    <t>2026-08-18</t>
  </si>
  <si>
    <t>In an airtight jar with a paper towel</t>
  </si>
  <si>
    <t>Moisture is condensing on the inside of the jar. Leaves were not completely dry.</t>
  </si>
  <si>
    <t>In an airtight closed plastic bag with a paper towel</t>
  </si>
  <si>
    <t>2026-08-31</t>
  </si>
  <si>
    <t>Moisture is condensing on the inside of the bag. Leaves were not completely dry.</t>
  </si>
  <si>
    <t>Additional</t>
  </si>
  <si>
    <t>Date Added</t>
  </si>
  <si>
    <t>Initial EC (μs/cm)</t>
  </si>
  <si>
    <t>V:Water Added (mL)</t>
  </si>
  <si>
    <t>V:Fertilizer Added (g)</t>
  </si>
  <si>
    <t>C:Total Water Added (mL)</t>
  </si>
  <si>
    <t>75</t>
  </si>
  <si>
    <t>1.05</t>
  </si>
  <si>
    <t>1.52</t>
  </si>
  <si>
    <t>0.694</t>
  </si>
  <si>
    <t>0.892</t>
  </si>
  <si>
    <t>2026-10-05</t>
  </si>
  <si>
    <t>0.32</t>
  </si>
  <si>
    <t>2.89</t>
  </si>
  <si>
    <t>1871</t>
  </si>
  <si>
    <t>2.90</t>
  </si>
  <si>
    <t>1942</t>
  </si>
  <si>
    <t>0.28</t>
  </si>
  <si>
    <t>0.30</t>
  </si>
  <si>
    <t>0.24</t>
  </si>
  <si>
    <t>0.53</t>
  </si>
  <si>
    <t>0.20</t>
  </si>
  <si>
    <t>0.34</t>
  </si>
  <si>
    <t>0.33</t>
  </si>
  <si>
    <t>2026-10-06</t>
  </si>
  <si>
    <t>0.37</t>
  </si>
  <si>
    <t>2700</t>
  </si>
  <si>
    <t>0.45</t>
  </si>
  <si>
    <t>0.41</t>
  </si>
  <si>
    <t>0.38</t>
  </si>
  <si>
    <t>2026-10-07</t>
  </si>
  <si>
    <t>0.71</t>
  </si>
  <si>
    <t>0.47</t>
  </si>
  <si>
    <t>Autoclaved Cup</t>
  </si>
  <si>
    <t>Autoclaved Medium</t>
  </si>
  <si>
    <t>Scarification Procedure</t>
  </si>
  <si>
    <t>Plant was restarted after seedlings died. Median was swapped from cotton balls to rock wool.</t>
  </si>
  <si>
    <t>2026-09-30</t>
  </si>
  <si>
    <t>33</t>
  </si>
  <si>
    <t>2026-10-01</t>
  </si>
  <si>
    <t>34</t>
  </si>
  <si>
    <t>Not using Shoot mass b/c leaves are harvested.</t>
  </si>
  <si>
    <t>Keep track of which net cup was transferred into which growing jar!</t>
  </si>
  <si>
    <t>=IF(@[Date Seeded]="", "", IF(@[Date Seeded]="Unknown", "Unknown", TEXT(@[Date Seeded]+XLOOKUP(@[Seed],Seeds[Seed],Seeds[Days Until Germination (min)]),"yyyy-MM-dd")))</t>
  </si>
  <si>
    <t>=IF(@[Date Seeded]="", "", IF(@[Date Seeded]="Unknown", "Unknown", TEXT(@[Date Seeded]+XLOOKUP(@[Seed],Seeds[Seed],Seeds[Days Until Germination (max)]),"yyyy-MM-dd")))</t>
  </si>
  <si>
    <t>Most Severe</t>
  </si>
  <si>
    <t>Sans Leaves</t>
  </si>
  <si>
    <t>Seed Cup</t>
  </si>
  <si>
    <t>Seed Name</t>
  </si>
  <si>
    <t>Status</t>
  </si>
  <si>
    <t>Expected Germination (min)</t>
  </si>
  <si>
    <t>Expected Germination (max)</t>
  </si>
  <si>
    <t>Water Procedure</t>
  </si>
  <si>
    <t>Harvests</t>
  </si>
  <si>
    <t>Root Length (mm)</t>
  </si>
  <si>
    <t>Root Width (mm)</t>
  </si>
  <si>
    <t>Root Dry Mass (g)</t>
  </si>
  <si>
    <t>Stem Dry Mass (g)</t>
  </si>
  <si>
    <t>Root-Stem Ratio</t>
  </si>
  <si>
    <t>Stem Length (mm)</t>
  </si>
  <si>
    <t>Stem Diameter (mm)</t>
  </si>
  <si>
    <t>Growing algae. Added aluminum foil around the base of the plant to block out light. Plant burnt or suffocated.</t>
  </si>
  <si>
    <t>45</t>
  </si>
  <si>
    <t>SPAD Meter</t>
  </si>
  <si>
    <t>Yellow Leaves</t>
  </si>
  <si>
    <t>Date Measured</t>
  </si>
  <si>
    <t>Chlorophyll</t>
  </si>
  <si>
    <t>Chlorosis?</t>
  </si>
  <si>
    <t>Disease?</t>
  </si>
  <si>
    <t>Treatment</t>
  </si>
  <si>
    <t>Storage Id</t>
  </si>
  <si>
    <t>Number of Leaves (+)</t>
  </si>
  <si>
    <t>Number of Leaves (-)</t>
  </si>
  <si>
    <t>Harvest Weight (g)</t>
  </si>
  <si>
    <t>Distributed?</t>
  </si>
  <si>
    <t>2026-10-09</t>
  </si>
  <si>
    <t>Date Stored</t>
  </si>
  <si>
    <t>Washing Procedure</t>
  </si>
  <si>
    <t>Storage Container</t>
  </si>
  <si>
    <t>Get me an instant read water thermometer!</t>
  </si>
  <si>
    <t>Jar Exterior</t>
  </si>
  <si>
    <t>Jar Shade</t>
  </si>
  <si>
    <t>Date</t>
  </si>
  <si>
    <t>Time</t>
  </si>
  <si>
    <t>Temp (°C)</t>
  </si>
  <si>
    <t>Outdoor Temp (°F)</t>
  </si>
  <si>
    <t>Outdoor Weather</t>
  </si>
  <si>
    <t>2026-04-22</t>
  </si>
  <si>
    <t>11:47</t>
  </si>
  <si>
    <t>Full Sun</t>
  </si>
  <si>
    <t>Unknown Jar</t>
  </si>
  <si>
    <t>2026-04-23</t>
  </si>
  <si>
    <t>13:25</t>
  </si>
  <si>
    <t>27.5</t>
  </si>
  <si>
    <t>82</t>
  </si>
  <si>
    <t>2026-05-09</t>
  </si>
  <si>
    <t>11:41</t>
  </si>
  <si>
    <t>71</t>
  </si>
  <si>
    <t>Nutrients already in Water</t>
  </si>
  <si>
    <t>Nutrients provided by Fertilizers</t>
  </si>
  <si>
    <t>Nutrients required by Crop</t>
  </si>
  <si>
    <t>% of requirement (100% = met)</t>
  </si>
  <si>
    <t>This uses data from Growing[] which is why some jars are skipped.</t>
  </si>
  <si>
    <t>=LET(value, INDEX(Growing_and_Harvest[Seeding Jar], ROW()-ROW(Growing_and_Harvest[#Headers])), IF(value="", "", value))</t>
  </si>
  <si>
    <t>=IFERROR(XLOOKUP([@[Seeding Jar]],'Kratky Jars'!A:A,'Kratky Jars'!L:L), "")</t>
  </si>
  <si>
    <t>=IF(TRIM('Growing and Harvest'!G11)="","",TRIM('Growing and Harvest'!G11))</t>
  </si>
  <si>
    <t>=IF('Growing and Harvest'!D11="","", TEXT('Growing and Harvest'!D11, "Default"))</t>
  </si>
  <si>
    <t>=IF('Growing and Harvest'!L11="","",IF(ISNUMBER('Growing and Harvest'!L11),'Growing and Harvest'!L11,IFERROR(DATEVALUE('Growing and Harvest'!L11),"")))</t>
  </si>
  <si>
    <t>=IFERROR('Growing and Harvest'!K11, "")</t>
  </si>
  <si>
    <t>=IF(AND(ISNUMBER(@[Transplant Root Length (mm)]),ISNUMBER(@[Days Between]),@[Days Between]&gt;0),@[Transplant Root Length (mm)]/@[Days Between],"")</t>
  </si>
  <si>
    <t>=SORT(UNIQUE(FILTER(HSTACK(FvRG_1[Seed], FvRG_1[Fertilizer Added (g)]), VALUE(FvRG_1[Include])=1)))</t>
  </si>
  <si>
    <t>=LET(value, OFFSET(INDIRECT(ADDRESS(ROW(),COLUMN())),0,-2), IF(value="","",value))</t>
  </si>
  <si>
    <t>=IFERROR(AVERAGE(FILTER(IFERROR(VALUE(FvRG_1[Root Length per Day (mm/day)]), ""), (FvRG_1[Seed]=[@Seed])*(IFERROR(VALUE(FvRG_1[Fertilizer Added (g)]), 0)=VALUE([@[Fertilizer Added (g)]])))), "")</t>
  </si>
  <si>
    <t>Days Between</t>
  </si>
  <si>
    <t>Root Length per Day (mm/day)</t>
  </si>
  <si>
    <t>Include</t>
  </si>
  <si>
    <t>Average Transplant Root Length (mm) / Day</t>
  </si>
  <si>
    <t>NOTE: This uses data from Growing and Harvest which is why some jars are skipped.</t>
  </si>
  <si>
    <t>Final Root 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</si>
</sst>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=0]0;0.00##########"/>
    <numFmt numFmtId="166" formatCode="[=0]0;0.00#"/>
  </numFmts>
  <fonts count="14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charset val="1"/>
      <scheme val="minor"/>
    </font>
    <font>
      <sz val="11"/>
      <color rgb="FF000000"/>
      <name val="Calibri"/>
      <family val="2"/>
      <charset val="1"/>
    </font>
    <font>
      <i/>
      <sz val="11"/>
      <color rgb="FF000000"/>
      <name val="Calibri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charset val="1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000000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C6E0B4"/>
        <bgColor rgb="FFC6E0B4"/>
      </patternFill>
    </fill>
    <fill>
      <patternFill patternType="solid">
        <fgColor rgb="FFE2EFDA"/>
        <bgColor rgb="FFE2EFDA"/>
      </patternFill>
    </fill>
    <fill>
      <patternFill patternType="solid">
        <fgColor rgb="FFFFEB9C"/>
        <bgColor rgb="FFE2EFDA"/>
      </patternFill>
    </fill>
    <fill>
      <patternFill patternType="solid">
        <fgColor rgb="FFFFEB9C"/>
        <bgColor rgb="FFC6E0B4"/>
      </patternFill>
    </fill>
    <fill>
      <patternFill patternType="solid">
        <fgColor rgb="FFFFC7CE"/>
        <bgColor rgb="FFC6E0B4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A9D08E"/>
      </left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49" fontId="0" fillId="0" borderId="0" xfId="0" applyNumberFormat="1" applyAlignment="1">
      <alignment wrapText="1"/>
    </xf>
    <xf numFmtId="164" fontId="0" fillId="0" borderId="0" xfId="0" applyNumberFormat="1"/>
    <xf numFmtId="49" fontId="0" fillId="0" borderId="0" xfId="0" quotePrefix="1" applyNumberFormat="1"/>
    <xf numFmtId="49" fontId="1" fillId="0" borderId="0" xfId="0" quotePrefix="1" applyNumberFormat="1" applyFont="1"/>
    <xf numFmtId="0" fontId="1" fillId="0" borderId="0" xfId="0" quotePrefix="1" applyFont="1"/>
    <xf numFmtId="0" fontId="2" fillId="0" borderId="0" xfId="1"/>
    <xf numFmtId="0" fontId="0" fillId="0" borderId="0" xfId="0" quotePrefix="1"/>
    <xf numFmtId="164" fontId="0" fillId="0" borderId="0" xfId="0" applyNumberFormat="1" applyAlignment="1">
      <alignment wrapText="1"/>
    </xf>
    <xf numFmtId="164" fontId="1" fillId="0" borderId="0" xfId="0" applyNumberFormat="1" applyFont="1"/>
    <xf numFmtId="164" fontId="0" fillId="0" borderId="0" xfId="0" quotePrefix="1" applyNumberFormat="1"/>
    <xf numFmtId="164" fontId="1" fillId="0" borderId="0" xfId="0" quotePrefix="1" applyNumberFormat="1" applyFont="1"/>
    <xf numFmtId="49" fontId="3" fillId="0" borderId="0" xfId="0" applyNumberFormat="1" applyFont="1" applyBorder="1" applyAlignment="1">
      <alignment wrapText="1"/>
    </xf>
    <xf numFmtId="14" fontId="1" fillId="0" borderId="0" xfId="0" quotePrefix="1" applyNumberFormat="1" applyFont="1"/>
    <xf numFmtId="0" fontId="0" fillId="0" borderId="0" xfId="0" applyNumberFormat="1"/>
    <xf numFmtId="0" fontId="4" fillId="0" borderId="0" xfId="0" applyNumberFormat="1" applyFont="1"/>
    <xf numFmtId="0" fontId="0" fillId="0" borderId="0" xfId="0" quotePrefix="1" applyNumberFormat="1"/>
    <xf numFmtId="0" fontId="1" fillId="0" borderId="0" xfId="0" applyNumberFormat="1" applyFont="1"/>
    <xf numFmtId="0" fontId="1" fillId="0" borderId="0" xfId="0" quotePrefix="1" applyNumberFormat="1" applyFont="1"/>
    <xf numFmtId="0" fontId="0" fillId="0" borderId="0" xfId="0" applyNumberFormat="1" applyAlignment="1"/>
    <xf numFmtId="0" fontId="5" fillId="0" borderId="0" xfId="0" applyNumberFormat="1" applyFont="1"/>
    <xf numFmtId="49" fontId="0" fillId="2" borderId="1" xfId="0" quotePrefix="1" applyNumberFormat="1" applyFont="1" applyFill="1" applyBorder="1"/>
    <xf numFmtId="49" fontId="0" fillId="2" borderId="1" xfId="0" applyNumberFormat="1" applyFont="1" applyFill="1" applyBorder="1"/>
    <xf numFmtId="0" fontId="5" fillId="2" borderId="1" xfId="0" applyFont="1" applyFill="1" applyBorder="1"/>
    <xf numFmtId="0" fontId="5" fillId="3" borderId="1" xfId="0" quotePrefix="1" applyFont="1" applyFill="1" applyBorder="1"/>
    <xf numFmtId="0" fontId="5" fillId="3" borderId="1" xfId="0" applyFont="1" applyFill="1" applyBorder="1"/>
    <xf numFmtId="49" fontId="0" fillId="3" borderId="1" xfId="0" quotePrefix="1" applyNumberFormat="1" applyFont="1" applyFill="1" applyBorder="1"/>
    <xf numFmtId="49" fontId="0" fillId="3" borderId="1" xfId="0" applyNumberFormat="1" applyFont="1" applyFill="1" applyBorder="1"/>
    <xf numFmtId="0" fontId="5" fillId="2" borderId="1" xfId="0" quotePrefix="1" applyFont="1" applyFill="1" applyBorder="1"/>
    <xf numFmtId="49" fontId="5" fillId="2" borderId="1" xfId="0" applyNumberFormat="1" applyFont="1" applyFill="1" applyBorder="1"/>
    <xf numFmtId="49" fontId="5" fillId="3" borderId="1" xfId="0" quotePrefix="1" applyNumberFormat="1" applyFont="1" applyFill="1" applyBorder="1"/>
    <xf numFmtId="0" fontId="0" fillId="0" borderId="0" xfId="0" applyNumberFormat="1" applyAlignment="1">
      <alignment wrapText="1"/>
    </xf>
    <xf numFmtId="0" fontId="6" fillId="0" borderId="0" xfId="0" applyFont="1"/>
    <xf numFmtId="0" fontId="7" fillId="0" borderId="0" xfId="0" applyFont="1"/>
    <xf numFmtId="0" fontId="5" fillId="4" borderId="0" xfId="0" applyFont="1" applyFill="1" applyBorder="1" applyAlignment="1"/>
    <xf numFmtId="0" fontId="5" fillId="5" borderId="0" xfId="0" applyFont="1" applyFill="1" applyBorder="1" applyAlignment="1"/>
    <xf numFmtId="0" fontId="8" fillId="6" borderId="0" xfId="0" applyFont="1" applyFill="1" applyBorder="1" applyAlignment="1"/>
    <xf numFmtId="0" fontId="8" fillId="7" borderId="0" xfId="0" applyFont="1" applyFill="1" applyBorder="1" applyAlignment="1"/>
    <xf numFmtId="0" fontId="8" fillId="5" borderId="0" xfId="0" applyFont="1" applyFill="1" applyBorder="1" applyAlignment="1"/>
    <xf numFmtId="0" fontId="8" fillId="4" borderId="0" xfId="0" applyFont="1" applyFill="1" applyBorder="1" applyAlignment="1"/>
    <xf numFmtId="0" fontId="8" fillId="8" borderId="0" xfId="0" applyFont="1" applyFill="1" applyBorder="1" applyAlignment="1"/>
    <xf numFmtId="0" fontId="9" fillId="0" borderId="0" xfId="0" applyFont="1"/>
    <xf numFmtId="0" fontId="0" fillId="0" borderId="0" xfId="0" applyAlignment="1">
      <alignment wrapText="1"/>
    </xf>
    <xf numFmtId="0" fontId="8" fillId="0" borderId="0" xfId="0" applyFont="1" applyFill="1" applyBorder="1" applyAlignment="1"/>
    <xf numFmtId="0" fontId="12" fillId="0" borderId="2" xfId="0" applyFont="1" applyFill="1" applyBorder="1" applyAlignment="1"/>
    <xf numFmtId="0" fontId="0" fillId="0" borderId="0" xfId="0" applyFill="1"/>
    <xf numFmtId="0" fontId="11" fillId="0" borderId="2" xfId="0" applyFont="1" applyFill="1" applyBorder="1" applyAlignment="1"/>
    <xf numFmtId="0" fontId="8" fillId="0" borderId="2" xfId="0" applyFont="1" applyFill="1" applyBorder="1" applyAlignment="1"/>
    <xf numFmtId="165" fontId="0" fillId="0" borderId="0" xfId="0" applyNumberFormat="1" applyFill="1"/>
    <xf numFmtId="165" fontId="1" fillId="0" borderId="0" xfId="0" applyNumberFormat="1" applyFont="1" applyFill="1"/>
    <xf numFmtId="165" fontId="10" fillId="0" borderId="0" xfId="0" applyNumberFormat="1" applyFont="1" applyFill="1"/>
    <xf numFmtId="165" fontId="0" fillId="0" borderId="0" xfId="0" quotePrefix="1" applyNumberFormat="1" applyFill="1"/>
    <xf numFmtId="166" fontId="0" fillId="0" borderId="0" xfId="0" applyNumberFormat="1"/>
    <xf numFmtId="166" fontId="1" fillId="0" borderId="0" xfId="0" applyNumberFormat="1" applyFont="1"/>
    <xf numFmtId="166" fontId="0" fillId="0" borderId="0" xfId="0" applyNumberFormat="1" applyAlignment="1">
      <alignment wrapText="1"/>
    </xf>
    <xf numFmtId="0" fontId="0" fillId="0" borderId="2" xfId="0" applyFill="1" applyBorder="1"/>
    <xf numFmtId="0" fontId="1" fillId="0" borderId="2" xfId="0" applyFont="1" applyBorder="1"/>
    <xf numFmtId="0" fontId="8" fillId="0" borderId="2" xfId="0" quotePrefix="1" applyFont="1" applyFill="1" applyBorder="1" applyAlignment="1"/>
    <xf numFmtId="0" fontId="0" fillId="0" borderId="2" xfId="0" quotePrefix="1" applyFill="1" applyBorder="1"/>
    <xf numFmtId="166" fontId="0" fillId="0" borderId="0" xfId="0" applyNumberFormat="1" applyFill="1"/>
    <xf numFmtId="166" fontId="0" fillId="0" borderId="0" xfId="0" quotePrefix="1" applyNumberFormat="1" applyFill="1"/>
    <xf numFmtId="166" fontId="13" fillId="0" borderId="0" xfId="0" quotePrefix="1" applyNumberFormat="1" applyFont="1" applyFill="1"/>
  </cellXfs>
  <cellStyles count="2">
    <cellStyle name="Hyperlink" xfId="1" builtinId="8"/>
    <cellStyle name="Normal" xfId="0" builtinId="0"/>
  </cellStyles>
  <dxfs count="50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font>
        <color rgb="FF9C0006"/>
      </font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0000"/>
        <charset val="1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yyyy\-mm\-dd;@"/>
    </dxf>
    <dxf>
      <numFmt numFmtId="30" formatCode="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rgb="FF000000"/>
        <charset val="1"/>
      </font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theme="1"/>
      </font>
      <fill>
        <patternFill patternType="solid"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  <numFmt numFmtId="0" formatCode="General"/>
    </dxf>
    <dxf>
      <font>
        <color rgb="FF000000"/>
        <charset val="1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 patternType="solid">
          <bgColor rgb="FFFFEB9C"/>
        </patternFill>
      </fill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ont>
        <i/>
        <color rgb="FF000000"/>
        <charset val="1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numFmt numFmtId="166" formatCode="[=0]0;0.00#"/>
    </dxf>
    <dxf>
      <font>
        <color rgb="FF9C0006"/>
      </font>
    </dxf>
    <dxf>
      <fill>
        <patternFill patternType="none"/>
      </fill>
    </dxf>
    <dxf>
      <fill>
        <patternFill patternType="none">
          <fgColor indexed="64"/>
          <bgColor indexed="65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>
          <fgColor indexed="64"/>
          <bgColor indexed="65"/>
        </patternFill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numFmt numFmtId="165" formatCode="[=0]0;0.00##########"/>
      <fill>
        <patternFill patternType="none"/>
      </fill>
    </dxf>
    <dxf>
      <font>
        <color rgb="FF9C0006"/>
      </font>
    </dxf>
    <dxf>
      <fill>
        <patternFill>
          <bgColor rgb="FFFFC7CE"/>
        </patternFill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>
          <fgColor indexed="64"/>
          <bgColor indexed="65"/>
        </patternFill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numFmt numFmtId="166" formatCode="[=0]0;0.00#"/>
      <fill>
        <patternFill patternType="none"/>
      </fill>
    </dxf>
    <dxf>
      <font>
        <color rgb="FF9C0006"/>
      </font>
    </dxf>
    <dxf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charset val="1"/>
        <scheme val="none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F16F1D02-6EAA-418A-BB29-861EE4B9F1BB}" name="List" displayName="List" ref="A10:H35" totalsRowShown="0">
  <autoFilter ref="A10:H35" xr:uid="{F16F1D02-6EAA-418A-BB29-861EE4B9F1BB}"/>
  <tableColumns count="8">
    <tableColumn id="6" xr3:uid="{EF3138A0-18ED-499D-B5E9-5873235CA534}" name="Solutions" dataDxfId="507"/>
    <tableColumn id="8" xr3:uid="{6BEADE2B-7425-4BD9-B927-1DBA51C0C01E}" name="Fertilizers" dataDxfId="506"/>
    <tableColumn id="7" xr3:uid="{09224B40-C091-4B3B-BD09-C7DAC857FBCA}" name="Nutrients" dataDxfId="505"/>
    <tableColumn id="1" xr3:uid="{20BA1222-E27A-4784-A38E-60A41B8BF8E5}" name="Elements" dataDxfId="504">
      <calculatedColumnFormula array="1">_xlfn.LET(_xlpm.value, OFFSET(INDIRECT(ADDRESS(ROW(), COLUMN())), 0, 2), IF(_xlpm.value="", "", _xlpm.value))</calculatedColumnFormula>
    </tableColumn>
    <tableColumn id="4" xr3:uid="{F84AAAA3-001E-4558-AE91-A8A6C090ACAC}" name="Concentration Units" dataDxfId="503"/>
    <tableColumn id="5" xr3:uid="{B5C08A79-D047-4D37-82A7-B50C800CF2A0}" name="Seasons" dataDxfId="502"/>
    <tableColumn id="2" xr3:uid="{5C2BB76F-C033-4B54-BDCB-59DD8E102384}" name="Root Color" dataDxfId="501"/>
    <tableColumn id="3" xr3:uid="{D36D8676-2C19-4835-8B12-984DCC9C0386}" name="Root Texture" dataDxfId="500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9A20B3A-4CFD-4958-BC46-10370FE7414B}" name="Conversions" displayName="Conversions" ref="A10:N38" totalsRowShown="0">
  <autoFilter ref="A10:N38" xr:uid="{E9A20B3A-4CFD-4958-BC46-10370FE7414B}"/>
  <tableColumns count="14">
    <tableColumn id="10" xr3:uid="{B7CE3A7C-582F-418A-900E-40EB4B1D96DF}" name="Key" dataDxfId="495">
      <calculatedColumnFormula>IF(Conversions[[#This Row],[From]]="", "", Conversions[[#This Row],[From]] &amp; " (" &amp; Conversions[[#This Row],[From (Unit)]] &amp; ") to " &amp; Conversions[[#This Row],[To]] &amp; " (" &amp; Conversions[[#This Row],[To (Unit)]] &amp; ")")</calculatedColumnFormula>
    </tableColumn>
    <tableColumn id="11" xr3:uid="{9B2717A2-E0FB-40A1-B4A5-C15F93EA6566}" name="Ratio" dataDxfId="494"/>
    <tableColumn id="8" xr3:uid="{679AEBF3-6DBE-482C-9238-109C803EE344}" name="To (Value)"/>
    <tableColumn id="5" xr3:uid="{320AB425-3FE5-4EE4-B43E-06DE685DC834}" name="To (Unit)"/>
    <tableColumn id="3" xr3:uid="{18AE9AD6-AF4D-4DAA-B52F-58733B53E255}" name="To"/>
    <tableColumn id="9" xr3:uid="{BBE3FE48-8DCE-4C32-B840-C744263CE592}" name="To (Name)"/>
    <tableColumn id="7" xr3:uid="{685041E4-6B81-4876-916C-36AE53219C33}" name="From (Value)" dataDxfId="493"/>
    <tableColumn id="4" xr3:uid="{70258CEC-6728-4B6B-9B49-280AC8786735}" name="From (Unit)"/>
    <tableColumn id="1" xr3:uid="{FC9A34FA-935F-4BAB-B9F2-929D6D7CD7FB}" name="From"/>
    <tableColumn id="6" xr3:uid="{50401343-C89C-452D-8E7C-132FA68C01A8}" name="From (Name)"/>
    <tableColumn id="2" xr3:uid="{25FFA9B7-C27A-4086-A5E5-D40F1036263D}" name="Multiply By" dataDxfId="492">
      <calculatedColumnFormula>IF(_xlfn.SINGLE(Conversions[Key])="", "", (_xlfn.SINGLE(Conversions[Ratio]) * _xlfn.SINGLE(Conversions[To (Value)])) / _xlfn.SINGLE(Conversions[From (Value)]))</calculatedColumnFormula>
    </tableColumn>
    <tableColumn id="14" xr3:uid="{A9DF6174-9477-4731-B42D-C361A2611E19}" name="Notes" dataDxfId="491"/>
    <tableColumn id="12" xr3:uid="{5B7E8071-83C5-4D3E-864B-150A7A4B0AC8}" name="From (Source)" dataDxfId="490"/>
    <tableColumn id="13" xr3:uid="{1E1F8382-5B58-461C-AC85-F45A2F3A08EC}" name="To (Source)" dataDxfId="489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CE30932-1F77-4DFC-9441-DFA5CB8728DE}" name="Procedures" displayName="Procedures" ref="A10:F16" totalsRowShown="0">
  <autoFilter ref="A10:F16" xr:uid="{F08264F8-681C-4AFE-8322-D3DAF4BD25A1}"/>
  <tableColumns count="6">
    <tableColumn id="3" xr3:uid="{391D097D-CBB1-4550-BD1E-384D568E9162}" name="Id"/>
    <tableColumn id="4" xr3:uid="{DF627711-D4F0-420B-9292-2EF00041796F}" name="Group"/>
    <tableColumn id="5" xr3:uid="{7F7EA09C-AB3C-4249-833F-DCBAB1830D63}" name="Type"/>
    <tableColumn id="1" xr3:uid="{D0B5EEAB-A2DF-442E-ADEC-6E6AF385122D}" name="Name"/>
    <tableColumn id="6" xr3:uid="{282A40E5-D411-476D-8FCB-0A7DF2E24BA6}" name="Description"/>
    <tableColumn id="2" xr3:uid="{33690212-BF78-498E-9510-550B633FADAA}" name="Link to Steps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AA0F597-B1AB-4201-8F97-3EAC3459A804}" name="Containers" displayName="Containers" ref="A10:H15" totalsRowShown="0">
  <autoFilter ref="A10:H15" xr:uid="{F08264F8-681C-4AFE-8322-D3DAF4BD25A1}"/>
  <tableColumns count="8">
    <tableColumn id="1" xr3:uid="{4EBEF72C-4BE1-495B-874B-0D0BEB1FC8E2}" name="Jar"/>
    <tableColumn id="2" xr3:uid="{0D844DE6-60BE-4DDE-9BCC-1D3BE37D8CBC}" name="Name"/>
    <tableColumn id="3" xr3:uid="{DE7D96AC-1AC9-4CFA-B043-97EF74CB1824}" name="Volume (mL)"/>
    <tableColumn id="6" xr3:uid="{EB5589CC-6E6C-4BEF-8E30-78B6D8A68844}" name="Shape"/>
    <tableColumn id="7" xr3:uid="{FC74B5F7-43DC-45AD-BA11-38D6D7A0BCB4}" name="Tapered Top" dataDxfId="486"/>
    <tableColumn id="4" xr3:uid="{A58488A6-7014-4CA5-8E64-9808CA063537}" name="Outer Width (mm)"/>
    <tableColumn id="5" xr3:uid="{5B6B4DCD-E3AC-409D-B3A3-6588BF180EE3}" name="Outer Height (mm)"/>
    <tableColumn id="8" xr3:uid="{211A8D7C-D2CC-4636-AD63-5960796E48F9}" name="Inner Lid Diameter (mm)"/>
  </tableColumns>
  <tableStyleInfo name="TableStyleMedium2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CFE13C-AD09-4C4C-8F54-F86D6594DBBA}" name="Fertilizers" displayName="Fertilizers" ref="A10:AH24" totalsRowShown="0" headerRowDxfId="483" dataDxfId="482">
  <autoFilter ref="A10:AH24" xr:uid="{F08264F8-681C-4AFE-8322-D3DAF4BD25A1}"/>
  <tableColumns count="34">
    <tableColumn id="1" xr3:uid="{95373BD5-5D09-42F8-8707-52F3056DF65E}" name="Fertilizer" dataDxfId="481"/>
    <tableColumn id="4" xr3:uid="{FD75D66B-C629-4A91-8BB6-E597DED0819A}" name="Updated" dataDxfId="480"/>
    <tableColumn id="2" xr3:uid="{8E55EC49-522E-428A-BBD1-C2C73C658C18}" name="Name" dataDxfId="479"/>
    <tableColumn id="23" xr3:uid="{46666101-1CD5-4EDC-A4A7-64C1148934BE}" name="Chemical Formula" dataDxfId="478"/>
    <tableColumn id="9" xr3:uid="{3440FEC7-3EAF-4330-8322-A61DB9626BE0}" name="Hazard Statements" dataDxfId="477"/>
    <tableColumn id="24" xr3:uid="{4D96BB44-A751-43E8-ABD8-005575391CB5}" name="Molar Mass (g/mol)" dataDxfId="476"/>
    <tableColumn id="3" xr3:uid="{88574365-1A13-4988-B6CA-BD03E70BD5BA}" name="N (%)" dataDxfId="475">
      <calculatedColumnFormula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calculatedColumnFormula>
    </tableColumn>
    <tableColumn id="29" xr3:uid="{D41584C6-D777-4EAC-8A0E-4F66201A9FFC}" name="P (%)" dataDxfId="474">
      <calculatedColumnFormula>IF(Fertilizers[[#This Row],[P₂O₅ (%)]]="", "", Fertilizers[[#This Row],[P₂O₅ (%)]] * _xlfn.XLOOKUP("P₂O₅ (g/mol) to P (g/mol)", Conversions[Key], Conversions[Multiply By]))</calculatedColumnFormula>
    </tableColumn>
    <tableColumn id="31" xr3:uid="{055216E2-B135-4E57-9E0A-9CB2729F797A}" name="K (%)" dataDxfId="473">
      <calculatedColumnFormula>IF(Fertilizers[[#This Row],[K₂O (%)]]="", "", Fertilizers[[#This Row],[K₂O (%)]] * _xlfn.XLOOKUP("K₂O (g/mol) to K (g/mol)", Conversions[Key], Conversions[Multiply By]))</calculatedColumnFormula>
    </tableColumn>
    <tableColumn id="5" xr3:uid="{BF6D8D36-AEEB-4808-9EFF-1D10E82B13A0}" name="NO₃ (%)" dataDxfId="472">
      <calculatedColumnFormula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calculatedColumnFormula>
    </tableColumn>
    <tableColumn id="7" xr3:uid="{11CDDBE6-C459-43C8-AE2C-FDD66AF6B9A1}" name="C:NH₄ (%)" dataDxfId="471">
      <calculatedColumnFormula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calculatedColumnFormula>
    </tableColumn>
    <tableColumn id="25" xr3:uid="{4E6BEE19-AE84-4469-BC74-ABA70BC31C8C}" name="Total N (%)" dataDxfId="470">
      <calculatedColumnFormula array="1">_xlfn.LET(_xlpm.data,#REF!, IF( _xlpm.data="", "", IFERROR(VALUE(_xlpm.data), "")))</calculatedColumnFormula>
    </tableColumn>
    <tableColumn id="26" xr3:uid="{9CC29AAD-0432-4F74-8CE6-E95E32E46148}" name="NO₃ (%/N)" dataDxfId="469">
      <calculatedColumnFormula array="1">_xlfn.LET(_xlpm.data,#REF!, IF( _xlpm.data="", "", IFERROR(VALUE(_xlpm.data), "")))</calculatedColumnFormula>
    </tableColumn>
    <tableColumn id="27" xr3:uid="{68187B12-EBF5-4EFE-A2E4-50A73928F1A7}" name="NH₄ (%/N)" dataDxfId="468">
      <calculatedColumnFormula array="1">_xlfn.LET(_xlpm.data,#REF!, IF( _xlpm.data="", "", IFERROR(VALUE(_xlpm.data), "")))</calculatedColumnFormula>
    </tableColumn>
    <tableColumn id="28" xr3:uid="{C1902BA3-9850-4388-B143-B172CDA7AB97}" name="CO(NH₂)₂ (%/N)" dataDxfId="467">
      <calculatedColumnFormula array="1">_xlfn.LET(_xlpm.data,#REF!, IF( _xlpm.data="", "", IFERROR(VALUE(_xlpm.data), "")))</calculatedColumnFormula>
    </tableColumn>
    <tableColumn id="30" xr3:uid="{97A07842-D322-42DD-821F-54D309C9A6F8}" name="P₂O₅ (%)" dataDxfId="466">
      <calculatedColumnFormula array="1">_xlfn.LET(_xlpm.data,#REF!, IF( _xlpm.data="", "", IFERROR(VALUE(_xlpm.data), "")))</calculatedColumnFormula>
    </tableColumn>
    <tableColumn id="32" xr3:uid="{C57B4BC1-BCD6-41FB-8167-72E7C56DFC3A}" name="K₂O (%)" dataDxfId="465">
      <calculatedColumnFormula array="1">_xlfn.LET(_xlpm.data,#REF!, IF( _xlpm.data="", "", IFERROR(VALUE(_xlpm.data), "")))</calculatedColumnFormula>
    </tableColumn>
    <tableColumn id="33" xr3:uid="{FC5B6B65-2A63-4B02-808A-F780AB8FAB49}" name="Ca (%)" dataDxfId="464">
      <calculatedColumnFormula array="1">_xlfn.LET(_xlpm.data,#REF!, IF( _xlpm.data="", "", IFERROR(VALUE(_xlpm.data), "")))</calculatedColumnFormula>
    </tableColumn>
    <tableColumn id="34" xr3:uid="{55BA62EA-67CD-4B97-BC3A-39C738274A17}" name="Mg (%)" dataDxfId="463">
      <calculatedColumnFormula array="1">_xlfn.LET(_xlpm.data,#REF!, IF( _xlpm.data="", "", IFERROR(VALUE(_xlpm.data), "")))</calculatedColumnFormula>
    </tableColumn>
    <tableColumn id="35" xr3:uid="{976D67EE-52D1-4D88-AB54-35D881ACE3DC}" name="S (%)" dataDxfId="462">
      <calculatedColumnFormula array="1">_xlfn.LET(_xlpm.data,#REF!, IF( _xlpm.data="", "", IFERROR(VALUE(_xlpm.data), "")))</calculatedColumnFormula>
    </tableColumn>
    <tableColumn id="36" xr3:uid="{A810E3A6-7C9D-4F1A-A6E1-645D8DE8C17C}" name="B (%)" dataDxfId="461"/>
    <tableColumn id="37" xr3:uid="{C0F7AD94-99D8-497D-91EF-0A47640DE2B3}" name="Cu (%)" dataDxfId="460">
      <calculatedColumnFormula array="1">_xlfn.LET(_xlpm.data,#REF!, IF( _xlpm.data="", "", IFERROR(VALUE(_xlpm.data), "")))</calculatedColumnFormula>
    </tableColumn>
    <tableColumn id="38" xr3:uid="{FB55BB47-507C-4D03-A90E-D1BBAB4941EA}" name="Fe (%)" dataDxfId="459">
      <calculatedColumnFormula array="1">_xlfn.LET(_xlpm.data,#REF!, IF( _xlpm.data="", "", IFERROR(VALUE(_xlpm.data), "")))</calculatedColumnFormula>
    </tableColumn>
    <tableColumn id="39" xr3:uid="{51E0A579-E088-4989-A7F7-60A7047CD6E0}" name="Mn (%)" dataDxfId="458">
      <calculatedColumnFormula array="1">_xlfn.LET(_xlpm.data,#REF!, IF( _xlpm.data="", "", IFERROR(VALUE(_xlpm.data), "")))</calculatedColumnFormula>
    </tableColumn>
    <tableColumn id="40" xr3:uid="{6FBFA8BC-9DEC-431E-A016-006A41FA1CAE}" name="Mo (%)" dataDxfId="457">
      <calculatedColumnFormula array="1">_xlfn.LET(_xlpm.data,#REF!, IF( _xlpm.data="", "", IFERROR(VALUE(_xlpm.data), "")))</calculatedColumnFormula>
    </tableColumn>
    <tableColumn id="41" xr3:uid="{323FBF04-39C1-49F9-B35D-5A9827F7020C}" name="Zn (%)" dataDxfId="456">
      <calculatedColumnFormula array="1">_xlfn.LET(_xlpm.data,#REF!, IF( _xlpm.data="", "", IFERROR(VALUE(_xlpm.data), "")))</calculatedColumnFormula>
    </tableColumn>
    <tableColumn id="6" xr3:uid="{4F831476-12B7-4B82-8A81-CDCB2D2FB9AE}" name="Ni (%)" dataDxfId="455"/>
    <tableColumn id="42" xr3:uid="{E547C0F9-72D4-4759-A7DB-3B1A1E211E34}" name="Cl (%)" dataDxfId="454"/>
    <tableColumn id="44" xr3:uid="{0B08C303-E3A4-434F-AD12-598766F9F94C}" name="Na (%)" dataDxfId="453"/>
    <tableColumn id="46" xr3:uid="{C94B38FC-EB25-4575-9A61-E96627BA5BB2}" name="Si (%)" dataDxfId="452"/>
    <tableColumn id="48" xr3:uid="{43C4CBB6-000A-4939-BD8B-CB6A540AA904}" name="Co (%)" dataDxfId="451"/>
    <tableColumn id="50" xr3:uid="{70902B02-D1CD-4D85-9FDE-C4FF952E6719}" name="I (%)" dataDxfId="450"/>
    <tableColumn id="52" xr3:uid="{C0EA6537-F8BA-4DB7-8E39-2AB5B92AAA4F}" name="Se (%)" dataDxfId="449"/>
    <tableColumn id="54" xr3:uid="{9FC45DC4-714F-4D72-8E20-8CFF8B0E0B2C}" name="Al (%)" dataDxfId="448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C59B013-35FB-4523-BC6C-879D559A55B3}" name="Solutions" displayName="Solutions" ref="A10:AB18" totalsRowShown="0" headerRowDxfId="445" dataDxfId="444">
  <autoFilter ref="A10:AB18" xr:uid="{6C59B013-35FB-4523-BC6C-879D559A55B3}"/>
  <tableColumns count="28">
    <tableColumn id="1" xr3:uid="{088129BE-8C8A-431C-B209-BE9D4CE7F2CC}" name="Name" dataDxfId="443"/>
    <tableColumn id="43" xr3:uid="{FBE3EDA1-4EA1-461C-B56B-005475D19102}" name="Source" dataDxfId="442"/>
    <tableColumn id="2" xr3:uid="{114EAEFD-AC07-4EBA-BB01-0D55FD95DE88}" name="Unit" dataDxfId="441"/>
    <tableColumn id="47" xr3:uid="{86E68744-800F-4481-BCA4-B7ABD1E7F42B}" name="EC (min)" dataDxfId="440"/>
    <tableColumn id="45" xr3:uid="{05074163-0835-458D-8715-4322D03B7DCA}" name="EC (max)" dataDxfId="439"/>
    <tableColumn id="50" xr3:uid="{02F6CF5C-9309-4035-97B8-CEC385373361}" name="pH (min)" dataDxfId="438"/>
    <tableColumn id="44" xr3:uid="{3E8D7222-7924-42F2-9195-B1FCD3A91E1A}" name="pH (max)" dataDxfId="437"/>
    <tableColumn id="3" xr3:uid="{1EADA79C-B9E9-41E7-8D85-CA1AC2D8C656}" name="N" dataDxfId="436"/>
    <tableColumn id="5" xr3:uid="{F9CD6054-E141-47AB-8EF4-DDD7C497CE0C}" name="P" dataDxfId="435"/>
    <tableColumn id="7" xr3:uid="{46C12839-E109-4192-AFE5-BC4B12F6436A}" name="K" dataDxfId="434"/>
    <tableColumn id="9" xr3:uid="{E9160900-0FF9-4296-BA82-51E3918CB815}" name="Ca" dataDxfId="433"/>
    <tableColumn id="11" xr3:uid="{5910664F-E18E-4CDF-9A86-B3C2C18F9D4A}" name="Mg" dataDxfId="432"/>
    <tableColumn id="13" xr3:uid="{34CB202F-B27B-4A4F-BBB1-BB03A978D0B5}" name="S" dataDxfId="431"/>
    <tableColumn id="15" xr3:uid="{E4D6E8DC-6449-4092-86F4-B75D1A89ADBA}" name="Fe" dataDxfId="430"/>
    <tableColumn id="17" xr3:uid="{4CFC646A-BFEE-4611-A2D6-878EAB14705D}" name="Mn" dataDxfId="429"/>
    <tableColumn id="19" xr3:uid="{8D4E63D6-B037-4580-B29F-6B05E1AB1827}" name="Zn" dataDxfId="428"/>
    <tableColumn id="21" xr3:uid="{13F45C20-DFA7-47B1-BD7B-FC5993842F74}" name="B" dataDxfId="427"/>
    <tableColumn id="23" xr3:uid="{3488D5FF-9238-44A8-946D-26595760E504}" name="Cu" dataDxfId="426"/>
    <tableColumn id="25" xr3:uid="{E82E3F21-C847-4665-AD8B-12EF7A21C770}" name="Mo" dataDxfId="425"/>
    <tableColumn id="27" xr3:uid="{CD6514DC-9721-4524-9207-F7A286311E00}" name="Ni" dataDxfId="424"/>
    <tableColumn id="29" xr3:uid="{E6177EC8-A282-42C1-8477-3D742BDBC7DF}" name="Cl" dataDxfId="423"/>
    <tableColumn id="33" xr3:uid="{0C58A8C7-C638-4D78-8750-2A071938AC8B}" name="Si" dataDxfId="422"/>
    <tableColumn id="37" xr3:uid="{C1240AB9-FDF5-447B-963F-F76FAB9570A1}" name="I" dataDxfId="421"/>
    <tableColumn id="39" xr3:uid="{37EF677A-5365-4B16-A91F-6D4F3F48BDEB}" name="Se" dataDxfId="420"/>
    <tableColumn id="35" xr3:uid="{AA4397AB-EFB4-4A2C-8BCF-B5FBABAD2C77}" name="Co" dataDxfId="419"/>
    <tableColumn id="41" xr3:uid="{AF148B09-098B-477B-A580-03471433A232}" name="Al" dataDxfId="418"/>
    <tableColumn id="31" xr3:uid="{66162FB7-CFD0-43EC-90EB-239D667E8EC9}" name="Na" dataDxfId="417"/>
    <tableColumn id="53" xr3:uid="{8958C88E-F19F-41A0-A93A-05CE43E06583}" name="Notes" dataDxfId="416"/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94BFADF-52D5-4960-A7E1-C0DCC766699C}" name="Nutrients" displayName="Nutrients" ref="A10:AC16" headerRowDxfId="411" dataDxfId="410" totalsRowDxfId="409">
  <autoFilter ref="A10:AC16" xr:uid="{F94BFADF-52D5-4960-A7E1-C0DCC766699C}"/>
  <tableColumns count="29">
    <tableColumn id="1" xr3:uid="{A7DD6FDF-D38D-457F-8C36-7DEABB7CB9A4}" name="For" totalsRowLabel="Total" dataDxfId="408"/>
    <tableColumn id="53" xr3:uid="{03D2C039-0080-4AE0-B7A2-A17F2FDDB519}" name="Solution" dataDxfId="407"/>
    <tableColumn id="2" xr3:uid="{9637CA01-BDD4-4DBC-8FE8-C6EA48CDDE4A}" name="Season" dataDxfId="406"/>
    <tableColumn id="27" xr3:uid="{9B328CD8-F7DC-41BE-8A2F-EDA61A7287D0}" name="Active" dataDxfId="405"/>
    <tableColumn id="7" xr3:uid="{7F0D92AF-1F72-4088-9931-4C8BB3E0DC02}" name="EC (min)" dataDxfId="404">
      <calculatedColumnFormula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calculatedColumnFormula>
    </tableColumn>
    <tableColumn id="24" xr3:uid="{87F4A85F-D431-4018-9654-7E8EA89EA175}" name="EC (max)" dataDxfId="403">
      <calculatedColumnFormula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calculatedColumnFormula>
    </tableColumn>
    <tableColumn id="25" xr3:uid="{BDFCA80D-71CB-4420-83F6-E8FC8ECD4B71}" name="pH (min)" dataDxfId="402">
      <calculatedColumnFormula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calculatedColumnFormula>
    </tableColumn>
    <tableColumn id="26" xr3:uid="{68A18B4C-2EC2-4ABF-ADA0-9E91D7C0CA46}" name="pH (max)" dataDxfId="401">
      <calculatedColumnFormula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calculatedColumnFormula>
    </tableColumn>
    <tableColumn id="21" xr3:uid="{E348E5AE-40AA-468B-8279-1E1562C69E42}" name="N" totalsRowFunction="custom" dataDxfId="400">
      <calculatedColumnFormula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calculatedColumnFormula>
      <totalsRowFormula array="1">_xlfn.VSTACK(1, 2)</totalsRowFormula>
    </tableColumn>
    <tableColumn id="22" xr3:uid="{6D7AC594-6CE2-49CF-8966-43FF521861A6}" name="P" dataDxfId="399">
      <calculatedColumnFormula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calculatedColumnFormula>
    </tableColumn>
    <tableColumn id="23" xr3:uid="{526A6671-4DE3-4645-B616-EE5111F1D05B}" name="K" dataDxfId="398">
      <calculatedColumnFormula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calculatedColumnFormula>
    </tableColumn>
    <tableColumn id="28" xr3:uid="{2BF3E11B-8ED0-48DA-8650-C13C75D391F0}" name="Ca" dataDxfId="397">
      <calculatedColumnFormula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calculatedColumnFormula>
    </tableColumn>
    <tableColumn id="29" xr3:uid="{1A55C8FF-5D0F-43BC-AE60-5AD6F7105924}" name="Mg" dataDxfId="396">
      <calculatedColumnFormula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calculatedColumnFormula>
    </tableColumn>
    <tableColumn id="30" xr3:uid="{AD303C68-45F5-4D3E-8943-134543C72A2A}" name="S" dataDxfId="395">
      <calculatedColumnFormula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calculatedColumnFormula>
    </tableColumn>
    <tableColumn id="31" xr3:uid="{D0281F59-1DEA-4895-88DD-AE63C830676A}" name="Fe" dataDxfId="394">
      <calculatedColumnFormula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calculatedColumnFormula>
    </tableColumn>
    <tableColumn id="32" xr3:uid="{AABEB9EB-5AFF-40EC-999C-44698944F4FF}" name="Mn" dataDxfId="393">
      <calculatedColumnFormula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calculatedColumnFormula>
    </tableColumn>
    <tableColumn id="33" xr3:uid="{15B5E889-AA1D-45B2-9502-8FABAE004CAA}" name="Zn" dataDxfId="392">
      <calculatedColumnFormula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calculatedColumnFormula>
    </tableColumn>
    <tableColumn id="34" xr3:uid="{AB490E58-4338-4633-BB98-FA0D57313B55}" name="B" dataDxfId="391">
      <calculatedColumnFormula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calculatedColumnFormula>
    </tableColumn>
    <tableColumn id="35" xr3:uid="{12BDAE13-2BA9-4CE2-AF9D-36DF03C692A2}" name="Cu" dataDxfId="390">
      <calculatedColumnFormula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calculatedColumnFormula>
    </tableColumn>
    <tableColumn id="36" xr3:uid="{73A44A42-AA7F-4687-AC48-71B4FB5FE19C}" name="Mo" dataDxfId="389">
      <calculatedColumnFormula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calculatedColumnFormula>
    </tableColumn>
    <tableColumn id="45" xr3:uid="{823B1C44-12DA-4B87-B0CF-54CCC6A382F4}" name="Ni" dataDxfId="388">
      <calculatedColumnFormula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calculatedColumnFormula>
    </tableColumn>
    <tableColumn id="37" xr3:uid="{DA0FD63C-6FC5-4696-81F0-07908783A075}" name="Cl" dataDxfId="387">
      <calculatedColumnFormula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calculatedColumnFormula>
    </tableColumn>
    <tableColumn id="46" xr3:uid="{72DB5C75-24C0-4B19-BD2A-C62EA4EADCD4}" name="Na" dataDxfId="386">
      <calculatedColumnFormula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calculatedColumnFormula>
    </tableColumn>
    <tableColumn id="47" xr3:uid="{0E659983-1753-4EF8-952E-B2E595EBC1AA}" name="Si" dataDxfId="385">
      <calculatedColumnFormula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calculatedColumnFormula>
    </tableColumn>
    <tableColumn id="51" xr3:uid="{027D420D-6485-4A16-A058-EFBD94F6633D}" name="Co" dataDxfId="384">
      <calculatedColumnFormula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calculatedColumnFormula>
    </tableColumn>
    <tableColumn id="48" xr3:uid="{4555C331-CF99-40B6-9ABD-B845D6AE7F04}" name="I" dataDxfId="383">
      <calculatedColumnFormula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calculatedColumnFormula>
    </tableColumn>
    <tableColumn id="49" xr3:uid="{3BECDFAE-701A-4C53-9F9B-79E38410B3CE}" name="Se" dataDxfId="382">
      <calculatedColumnFormula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calculatedColumnFormula>
    </tableColumn>
    <tableColumn id="50" xr3:uid="{E1FFBA67-DADC-4665-B7D8-6D9F115462D2}" name="Al" dataDxfId="381">
      <calculatedColumnFormula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calculatedColumnFormula>
    </tableColumn>
    <tableColumn id="6" xr3:uid="{A7018C13-EADE-4E51-B72A-B5B3A7B383A5}" name="Notes" totalsRowFunction="count" dataDxfId="380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D1AD34B-61B9-457B-8DBF-DEFAF414335A}" name="Adjustments" displayName="Adjustments" ref="AE10:AI36" totalsRowShown="0" headerRowDxfId="379" dataDxfId="378">
  <autoFilter ref="AE10:AI36" xr:uid="{4D1AD34B-61B9-457B-8DBF-DEFAF414335A}"/>
  <sortState xmlns:xlrd2="http://schemas.microsoft.com/office/spreadsheetml/2017/richdata2" ref="AE11:AI36">
    <sortCondition descending="1" ref="AE10:AE36"/>
  </sortState>
  <tableColumns count="5">
    <tableColumn id="1" xr3:uid="{BE81607F-3E1C-45A2-A938-4A766B717065}" name="For" dataDxfId="377"/>
    <tableColumn id="3" xr3:uid="{B2FD893F-89B3-4E9B-B5D8-932F39434DC8}" name="Nutrient" dataDxfId="376"/>
    <tableColumn id="4" xr3:uid="{8D934362-EFF3-4268-A850-EAA8BC9C06F8}" name="Adjust By" dataDxfId="375"/>
    <tableColumn id="2" xr3:uid="{55694A8B-16EA-4E26-9B62-92F0117169F8}" name="Notes" dataDxfId="374"/>
    <tableColumn id="6" xr3:uid="{51999EC0-7066-4686-B6AF-0444DBA28CFE}" name="Source" dataDxfId="373"/>
  </tableColumns>
  <tableStyleInfo name="TableStyleMedium2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F560238-6D75-4D9F-9084-7BF98B5AA933}" name="Recipe_Calc" displayName="Recipe_Calc" ref="A24:Y33" totalsRowShown="0" headerRowDxfId="371" dataDxfId="370">
  <autoFilter ref="A24:Y33" xr:uid="{CF560238-6D75-4D9F-9084-7BF98B5AA933}"/>
  <tableColumns count="25">
    <tableColumn id="1" xr3:uid="{E28145D4-13C4-4713-BB7D-A2A163D1605A}" name="Nutrient Concentration (ppm)" dataDxfId="369"/>
    <tableColumn id="2" xr3:uid="{C1E0D35F-6B0C-460C-816B-115AB1884B9D}" name="Total N" dataDxfId="368"/>
    <tableColumn id="31" xr3:uid="{5FE2EA5D-C7CC-4FE1-92ED-6177B167DFF8}" name="Ammonium-N" dataDxfId="367"/>
    <tableColumn id="28" xr3:uid="{58C4B01F-9D17-432A-80A2-527EAB7A9DD7}" name="Nitrate-N" dataDxfId="366"/>
    <tableColumn id="3" xr3:uid="{4CEF0B94-E0B5-46D7-9EA8-191D5F1AE6D1}" name="Urea" dataDxfId="365"/>
    <tableColumn id="6" xr3:uid="{A9EA0CF9-A959-4293-886A-16BA64683205}" name="P" dataDxfId="364"/>
    <tableColumn id="7" xr3:uid="{80E3D07A-1B74-4A40-9C9E-E00A22AB2A43}" name="K" dataDxfId="363"/>
    <tableColumn id="8" xr3:uid="{0E858B2B-E247-4603-999A-4A11D164D88D}" name="Ca" dataDxfId="362"/>
    <tableColumn id="9" xr3:uid="{7C5D31DC-05E4-4BE2-82E9-82B6DE7AE801}" name="Mg" dataDxfId="361"/>
    <tableColumn id="10" xr3:uid="{CD2235C5-D5E8-4973-9927-235FD8016575}" name="S" dataDxfId="360"/>
    <tableColumn id="11" xr3:uid="{2D97EDFF-3F2D-4670-B495-BD90B2838D0C}" name="B" dataDxfId="359"/>
    <tableColumn id="12" xr3:uid="{675C8A87-B346-44E4-86B4-370D72CE101E}" name="Cu" dataDxfId="358"/>
    <tableColumn id="13" xr3:uid="{EF0F0097-50EA-444E-B270-6BE35CC8045F}" name="Fe" dataDxfId="357"/>
    <tableColumn id="14" xr3:uid="{C28C95C0-A306-481C-BDED-AA75243BBA4E}" name="Mn" dataDxfId="356"/>
    <tableColumn id="15" xr3:uid="{A57E1BC1-9512-4607-9A14-A5252F0DD4C4}" name="Mo" dataDxfId="355"/>
    <tableColumn id="16" xr3:uid="{46EAE124-ADDA-416F-BC09-44D281916C79}" name="Zn" dataDxfId="354"/>
    <tableColumn id="19" xr3:uid="{9840800F-C215-4E33-B669-D8A40AABE071}" name="Cl" dataDxfId="353"/>
    <tableColumn id="21" xr3:uid="{1A5C9866-10F5-49C5-A384-4D65FF03E9A6}" name="Si" dataDxfId="352"/>
    <tableColumn id="18" xr3:uid="{292974F4-99D1-4313-93B2-0DEA365C9B59}" name="Ni" dataDxfId="351">
      <calculatedColumnFormula>IF(Recipes_Crop[Crop]="","",IFERROR(AVERAGEIFS(#REF!,Adjustments[For],Recipes_Crop[Crop]),""))</calculatedColumnFormula>
    </tableColumn>
    <tableColumn id="20" xr3:uid="{60E153B6-C6B0-4DAE-A57A-705DEC649730}" name="Na" dataDxfId="350"/>
    <tableColumn id="22" xr3:uid="{DBF21775-BF92-479B-BE5A-ABD83037DF93}" name="Co" dataDxfId="349"/>
    <tableColumn id="23" xr3:uid="{B2F8AB2F-9D95-49A3-A74E-737A09E65EF5}" name="I" dataDxfId="348"/>
    <tableColumn id="24" xr3:uid="{0E566E74-AD9C-4E3B-8E65-500B8C593D2F}" name="Se" dataDxfId="347"/>
    <tableColumn id="25" xr3:uid="{5D8F54FA-4E74-4731-B55B-FD3BD9BB4C92}" name="Al" dataDxfId="346"/>
    <tableColumn id="17" xr3:uid="{97A95C91-67D9-4CC7-87E0-760D0DC1E99C}" name="K/N" dataDxfId="345"/>
  </tableColumns>
  <tableStyleInfo name="TableStyleMedium2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F9CB6DF-A5F3-4059-8B33-A7C394341BC2}" name="Recipe_Input" displayName="Recipe_Input" ref="A15:F20" totalsRowShown="0" headerRowDxfId="344" dataDxfId="343">
  <autoFilter ref="A15:F20" xr:uid="{DF9CB6DF-A5F3-4059-8B33-A7C394341BC2}"/>
  <tableColumns count="6">
    <tableColumn id="1" xr3:uid="{3EF7222D-2BEF-43EF-A4DD-F320F2B97206}" name="Fertilizer" dataDxfId="342"/>
    <tableColumn id="6" xr3:uid="{F9761E0A-7B28-427F-9AF7-A55307AA3774}" name="Nutrient" dataDxfId="341"/>
    <tableColumn id="8" xr3:uid="{70ED0AFE-F97A-49C2-9F29-C32AC543B865}" name="Target PPM" dataDxfId="340"/>
    <tableColumn id="7" xr3:uid="{C815C807-A553-48A9-81C2-2AB320F07779}" name="Active" dataDxfId="339"/>
    <tableColumn id="9" xr3:uid="{B62C01EF-C712-4A55-9976-813F86ACFA2D}" name="Amount (g)" dataDxfId="338">
      <calculatedColumnFormula array="1">IF(OR(Recipe_Input[[#This Row],[Fertilizer]]="", Recipe_Input[[#This Row],[Nutrient]]="", Recipe_Input[[#This Row],[Target PPM]]=""), "", IF(Recipe_Input[[#This Row],[Target PPM]]=0,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calculatedColumnFormula>
    </tableColumn>
    <tableColumn id="10" xr3:uid="{543E0DD0-1AA0-4D48-BB38-CC51E0B11F12}" name="Fertilizer (g/L)" dataDxfId="337">
      <calculatedColumnFormula array="1">IF(Recipe_Input[[#This Row],[Amount (g)]]="", "", IF(Recipe_Input[[#This Row],[Amount (g)]]=0, 0, _xlfn.LET(_xlpm.x,
    Recipe_Input[[#This Row],[Amount (g)]]/Recipes_Crop[Volume (L)],
ROUND(_xlpm.x, 4-INT(LOG10(ABS(_xlpm.x)))-1))))</calculatedColumnFormula>
    </tableColumn>
  </tableColumns>
  <tableStyleInfo name="TableStyleMedium2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C9DC878-1A81-4996-AEA2-D20229007E73}" name="Recipes_Crop" displayName="Recipes_Crop" ref="A10:G11" totalsRowShown="0" headerRowDxfId="336" dataDxfId="335">
  <autoFilter ref="A10:G11" xr:uid="{1C9DC878-1A81-4996-AEA2-D20229007E73}"/>
  <tableColumns count="7">
    <tableColumn id="1" xr3:uid="{93EDBC31-ABD9-4738-87F8-148B6BA7B3A5}" name="Crop" dataDxfId="334"/>
    <tableColumn id="3" xr3:uid="{5CB2B737-7754-41AB-A849-2AD724242AA9}" name="Volume (mL)" dataDxfId="333"/>
    <tableColumn id="2" xr3:uid="{48138623-305E-4CB7-9630-4DE2B87720F2}" name="Volume (L)" dataDxfId="332">
      <calculatedColumnFormula>Recipes_Crop[Volume (mL)] / 1000</calculatedColumnFormula>
    </tableColumn>
    <tableColumn id="8" xr3:uid="{C7794CEF-334C-4868-8586-F5BBBA745BB9}" name="pH (min)" dataDxfId="331">
      <calculatedColumnFormula>IF(Recipes_Crop[[#This Row],[Crop]]="","",_xlfn.LET(_xlpm.x,_xlfn.XLOOKUP(Recipes_Crop[[#This Row],[Crop]],Nutrients[For],Nutrients[pH (min)],""),IF(ISNUMBER(_xlpm.x),_xlpm.x,"")))</calculatedColumnFormula>
    </tableColumn>
    <tableColumn id="7" xr3:uid="{7DB75A9B-0E02-4AD3-B29B-3A13C1B6A9DB}" name="pH (max)" dataDxfId="330">
      <calculatedColumnFormula>IF(Recipes_Crop[[#This Row],[Crop]]="","",_xlfn.LET(_xlpm.x,_xlfn.XLOOKUP(Recipes_Crop[[#This Row],[Crop]],Nutrients[For],Nutrients[pH (max)],""),IF(ISNUMBER(_xlpm.x),_xlpm.x,"")))</calculatedColumnFormula>
    </tableColumn>
    <tableColumn id="4" xr3:uid="{07CE555B-1F36-4AFF-89FE-4A56BD95D8D7}" name="EC (min)" dataDxfId="329">
      <calculatedColumnFormula>IF(Recipes_Crop[[#This Row],[Crop]]="","",_xlfn.LET(_xlpm.x,_xlfn.XLOOKUP(Recipes_Crop[[#This Row],[Crop]],Nutrients[For],Nutrients[EC (min)],""),IF(ISNUMBER(_xlpm.x),_xlpm.x,"")))</calculatedColumnFormula>
    </tableColumn>
    <tableColumn id="5" xr3:uid="{0E4FE889-4086-4B10-9251-045730A09891}" name="EC (max)" dataDxfId="328">
      <calculatedColumnFormula>IF(Recipes_Crop[[#This Row],[Crop]]="","",_xlfn.LET(_xlpm.x,_xlfn.XLOOKUP(Recipes_Crop[[#This Row],[Crop]],Nutrients[For],Nutrients[EC (max)],""),IF(ISNUMBER(_xlpm.x),_xlpm.x,"")))</calculatedColumnFormula>
    </tableColumn>
  </tableColumns>
  <tableStyleInfo name="TableStyleMedium2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7DB9369-855D-4845-959E-A294CDDEBA36}" name="Water_Test" displayName="Water_Test" ref="A10:Z11" totalsRowShown="0">
  <autoFilter ref="A10:Z11" xr:uid="{A7DB9369-855D-4845-959E-A294CDDEBA36}"/>
  <tableColumns count="26">
    <tableColumn id="17" xr3:uid="{4C8B2C30-EBB8-424D-A1EC-BC9AF75860A4}" name="Alkalinity (as CaCO₃)"/>
    <tableColumn id="18" xr3:uid="{5AEC0D93-50BE-4D5E-BEAB-BF41D61EAD2D}" name="pH"/>
    <tableColumn id="19" xr3:uid="{3ABA646F-70DD-4ED5-A649-DF8A1A59E220}" name="EC (dS/m)"/>
    <tableColumn id="2" xr3:uid="{29202B9C-DBC9-4FED-BF09-74D49F24248E}" name="Total N"/>
    <tableColumn id="3" xr3:uid="{93940945-5167-45AF-BD02-CE81D104A4AF}" name="Urea"/>
    <tableColumn id="4" xr3:uid="{B791DFE5-43A1-43E9-BC32-64A868133D87}" name="Ammonium-N"/>
    <tableColumn id="5" xr3:uid="{FB72B399-E0E5-466A-A652-3A792948E574}" name="Nitrate-N"/>
    <tableColumn id="6" xr3:uid="{0FEA40A9-CE86-432F-BBCE-3DDE1EA77BA6}" name="P"/>
    <tableColumn id="7" xr3:uid="{6C4D08E4-096B-4CDD-8B56-A70302498106}" name="K"/>
    <tableColumn id="8" xr3:uid="{71E44D01-C4DD-402A-8507-4E8A46288A51}" name="Ca"/>
    <tableColumn id="9" xr3:uid="{9139A28D-8066-4E2B-8530-6C565BE0CB36}" name="Mg"/>
    <tableColumn id="10" xr3:uid="{9D49EEE1-B588-4CA2-B339-D20EF81459F5}" name="SO₄²⁻"/>
    <tableColumn id="11" xr3:uid="{CB241D2F-E2BA-45E6-9329-6EB8DF3FAC98}" name="B"/>
    <tableColumn id="12" xr3:uid="{1FAAC4FD-0083-400D-B90C-87481F1FE86C}" name="Cu"/>
    <tableColumn id="13" xr3:uid="{8526FC1C-D9EF-47C4-B5B6-8A7AC143B4C2}" name="Fe"/>
    <tableColumn id="14" xr3:uid="{732588AD-70AA-467E-A67B-CCAED1FFC29A}" name="Mn"/>
    <tableColumn id="15" xr3:uid="{2D4EDE1B-09D4-489A-9096-8349CF78BD94}" name="Mo"/>
    <tableColumn id="16" xr3:uid="{DC84CD26-9863-4DE7-AFA5-C918F74D7C4F}" name="Zn"/>
    <tableColumn id="1" xr3:uid="{2904D2C6-D788-4B25-97F5-8CB7BC3E3F01}" name="Ni"/>
    <tableColumn id="20" xr3:uid="{B923460C-72B2-4800-9977-E58CFD337E1C}" name="Cl"/>
    <tableColumn id="21" xr3:uid="{EA4F6513-886A-4B59-B8FD-60CDD5A8FB9E}" name="Na"/>
    <tableColumn id="22" xr3:uid="{23B3FADE-6D47-4F45-BDEF-735B0328D964}" name="Si"/>
    <tableColumn id="23" xr3:uid="{88C50133-90A7-415C-86A2-2E13416306A7}" name="Co"/>
    <tableColumn id="24" xr3:uid="{2F25CA14-23DD-48BA-837E-AF9F8DACFFAC}" name="I"/>
    <tableColumn id="25" xr3:uid="{73A66278-99F7-462F-BE05-D78E8C97CA2D}" name="Se"/>
    <tableColumn id="26" xr3:uid="{89F21F9C-3D85-4BCC-9AB4-EFF1FFCB2B50}" name="Al"/>
  </tableColumns>
  <tableStyleInfo name="TableStyleMedium2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8264F8-681C-4AFE-8322-D3DAF4BD25A1}" name="Seeds" displayName="Seeds" ref="A10:P15" totalsRowShown="0">
  <autoFilter ref="A10:P15" xr:uid="{F08264F8-681C-4AFE-8322-D3DAF4BD25A1}"/>
  <tableColumns count="16">
    <tableColumn id="1" xr3:uid="{FC174007-198D-4F53-989E-6F429546A993}" name="Seed"/>
    <tableColumn id="5" xr3:uid="{CD77627E-2448-4A8B-93E4-124BB9AF4165}" name="Scientific Name" dataDxfId="325"/>
    <tableColumn id="4" xr3:uid="{7BF48AFF-807D-4D9C-9E6C-C89B400B36C0}" name="Common Name" dataDxfId="324"/>
    <tableColumn id="2" xr3:uid="{2C1BFC44-5F71-41CF-A0E2-C742FD72A24D}" name="Brand Name" dataDxfId="323"/>
    <tableColumn id="3" xr3:uid="{35C2DE4F-C1CC-496B-A1CB-4610598B0007}" name="Variety"/>
    <tableColumn id="13" xr3:uid="{7648C0C3-D38C-44FE-A61A-073410EA2ECE}" name="Color"/>
    <tableColumn id="14" xr3:uid="{3C1B9BF6-45B9-4693-A2EE-EFC0AAC6A196}" name="Type"/>
    <tableColumn id="10" xr3:uid="{2EC014FC-7F18-4D25-AE99-7C5496262D28}" name="QC Testing Designation"/>
    <tableColumn id="11" xr3:uid="{BE42176B-7B30-4829-8B2B-7D2F4ED6ADB0}" name="Organic"/>
    <tableColumn id="12" xr3:uid="{7040C9FD-BBB4-4053-9E08-0DBD5015B265}" name="Pelleted"/>
    <tableColumn id="8" xr3:uid="{BE066A96-9F7B-4191-B1D9-70D4AA9EED10}" name="Days Until Germination (min)"/>
    <tableColumn id="9" xr3:uid="{0973C518-5F0D-4806-B4A6-F3B64273F3E4}" name="Days Until Germination (max)"/>
    <tableColumn id="6" xr3:uid="{A9CBA590-FCCF-4897-9523-C303DDA962F5}" name="Days Until Maturity" dataDxfId="322"/>
    <tableColumn id="15" xr3:uid="{85DC5212-2854-4BE4-9396-9DBE7E9DBE9E}" name="Disease Resistance" dataDxfId="321"/>
    <tableColumn id="16" xr3:uid="{0769802E-54BB-49CB-A5A8-A76D1D59EFF7}" name="Notes"/>
    <tableColumn id="7" xr3:uid="{96233204-92E0-47F4-8A7E-396449855852}" name="Link"/>
  </tableColumns>
  <tableStyleInfo name="TableStyleMedium2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7F21628-6B95-4285-85B9-E834B5844DA1}" name="zzz_20261002_Jars" displayName="zzz_20261002_Jars" ref="A10:AB60" totalsRowShown="0" headerRowDxfId="317" dataDxfId="316">
  <autoFilter ref="A10:AB60" xr:uid="{184D8FC6-22CB-4693-81FF-C1B0418E63E9}"/>
  <tableColumns count="28">
    <tableColumn id="1" xr3:uid="{9EE5043A-BF5B-4629-B94F-0A6E267AF0E5}" name="Jar"/>
    <tableColumn id="11" xr3:uid="{2BC69488-2877-4DD8-A482-9A8814E681BB}" name="Jar Type" dataDxfId="315"/>
    <tableColumn id="10" xr3:uid="{94B57510-6563-4A2F-BA4A-BF6021C2923B}" name="Jar Name" dataDxfId="314"/>
    <tableColumn id="12" xr3:uid="{30E00674-B43B-49EE-9A05-594A312ED509}" name="Jar Purpose" dataDxfId="313"/>
    <tableColumn id="40" xr3:uid="{A81E2B35-93C3-4E58-ABAA-4D2E27CEE871}" name="Jar Size (mL)" dataDxfId="312">
      <calculatedColumnFormula>IF(zzz_20261002_Jars[[#This Row],[Jar Type]]="", "", TEXT(_xlfn.XLOOKUP(zzz_20261002_Jars[[#This Row],[Jar Type]], 'Containers'!A:A, 'Containers'!C:C), "General"))</calculatedColumnFormula>
    </tableColumn>
    <tableColumn id="21" xr3:uid="{F4CF32B4-2F52-49AF-B15C-3F8EE6DC9D02}" name="Autoclaved" dataDxfId="311"/>
    <tableColumn id="8" xr3:uid="{2417794B-CD20-4A65-97E4-32B55921EDA2}" name="Date Made" dataDxfId="310"/>
    <tableColumn id="13" xr3:uid="{9A7A92EA-E16A-479A-AED6-230DD20F37EA}" name="Water Type" dataDxfId="309"/>
    <tableColumn id="18" xr3:uid="{255A8D15-9FA4-4A92-B43E-5B71F41D6744}" name="Expected Water (min, mL)" dataDxfId="308">
      <calculatedColumnFormula array="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calculatedColumnFormula>
    </tableColumn>
    <tableColumn id="22" xr3:uid="{EB4A9EF2-2C8F-4B5F-A83F-381164DA9468}" name="Expected Water (max, mL)" dataDxfId="307">
      <calculatedColumnFormula array="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calculatedColumnFormula>
    </tableColumn>
    <tableColumn id="2" xr3:uid="{D4EDAD8F-0B50-4735-A071-503B47D06711}" name="Water Added (mL)" dataDxfId="306"/>
    <tableColumn id="14" xr3:uid="{9FD6F8F0-B5F5-4AA7-88A3-D18A6B234E88}" name="Water Level from Top (mm)" dataDxfId="305"/>
    <tableColumn id="27" xr3:uid="{946DAE0F-8898-4241-93BA-B83D92D16CDC}" name="Target PPM Nitrogen" dataDxfId="304"/>
    <tableColumn id="3" xr3:uid="{F04821F8-DDE5-4C9B-AE08-F6559FAFB747}" name="Fertilizer Added (g)" dataDxfId="303"/>
    <tableColumn id="5" xr3:uid="{5520E1B7-E4E4-4960-A84C-4DDCBA8372A1}" name="pH Procedure" dataDxfId="302"/>
    <tableColumn id="7" xr3:uid="{91CB19FA-FA62-42E8-82F8-723DB00786B1}" name="Initial pH" dataDxfId="301"/>
    <tableColumn id="4" xr3:uid="{1A8F9697-582B-49BF-A5E1-2FD1B53342A7}" name="Initial EC (μS)" dataDxfId="300"/>
    <tableColumn id="20" xr3:uid="{62DAFACA-41FF-405F-AB4F-71BBE51CBE12}" name="Growing Status" dataDxfId="299">
      <calculatedColumnFormula>IF(zzz_20261002_Jars[[#This Row],[Jar]]="", "", IFERROR(IFERROR(_xlfn.XLOOKUP(zzz_20261002_Jars[[#This Row],[Jar]], Growing[Growing Jar], Growing[Status]), _xlfn.XLOOKUP(zzz_20261002_Jars[[#This Row],[Jar]], Growing[Seeding Jar], Growing[Status])), "Ready"))</calculatedColumnFormula>
    </tableColumn>
    <tableColumn id="17" xr3:uid="{4531121E-AD92-46D1-87A9-4F620950766D}" name="Additional Water Added (mL)" dataDxfId="298"/>
    <tableColumn id="23" xr3:uid="{11B01D56-12B2-40A3-9C18-5B025BED966C}" name="Additional Fertilizer Added (g)" dataDxfId="297"/>
    <tableColumn id="24" xr3:uid="{BFBE54ED-2CB9-4CE1-BEDB-917E160B478F}" name="Fertilizer Added Date" dataDxfId="296"/>
    <tableColumn id="26" xr3:uid="{C35AB201-4501-4495-A944-149D045A0E29}" name="Total Water Added (mL)" dataDxfId="295">
      <calculatedColumnFormula array="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calculatedColumnFormula>
    </tableColumn>
    <tableColumn id="25" xr3:uid="{8D40264F-0713-429E-B073-C3286F8F8E9C}" name="Total Fertilizer Added (g)" dataDxfId="294">
      <calculatedColumnFormula array="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calculatedColumnFormula>
    </tableColumn>
    <tableColumn id="6" xr3:uid="{AC4838BC-E678-4C48-A92A-0882FF5E5D5B}" name="Final pH" dataDxfId="293"/>
    <tableColumn id="19" xr3:uid="{1BE4D601-1BD1-4D50-8843-D4C7DFFE5438}" name="Final EC (μS)" dataDxfId="292"/>
    <tableColumn id="9" xr3:uid="{2F67A701-A5DC-4CCF-A94C-2F6993393534}" name="Exterior" dataDxfId="291"/>
    <tableColumn id="16" xr3:uid="{6B3030D1-2982-4937-98FD-5BD3B5442837}" name="Shade" dataDxfId="290"/>
    <tableColumn id="15" xr3:uid="{2C6B611B-5FD6-44AE-A36F-85C46635A73C}" name="Notes" dataDxfId="289"/>
  </tableColumns>
  <tableStyleInfo name="TableStyleMedium2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BDC51ACF-E696-44CF-B533-56AACCE1FE23}" name="xxx_Jars25" displayName="xxx_Jars25" ref="A10:AA60" totalsRowShown="0" headerRowDxfId="284" dataDxfId="283">
  <autoFilter ref="A10:AA60" xr:uid="{184D8FC6-22CB-4693-81FF-C1B0418E63E9}"/>
  <tableColumns count="27">
    <tableColumn id="1" xr3:uid="{4697298C-DFC2-4768-BB65-FA9E4B195BFC}" name="Jar"/>
    <tableColumn id="11" xr3:uid="{56E95090-E1D0-4971-A128-EE69D2E2187B}" name="Jar Type" dataDxfId="282"/>
    <tableColumn id="10" xr3:uid="{D7B02D05-EDD2-4854-B89D-8F1A7AE68DC8}" name="Jar Name" dataDxfId="281"/>
    <tableColumn id="12" xr3:uid="{26966AD0-B4D5-4CB1-B6A6-84BF52CFA356}" name="Jar Purpose" dataDxfId="280"/>
    <tableColumn id="40" xr3:uid="{FB2BA715-6295-4FE9-8ABF-194873E6C16F}" name="Jar Size (mL)" dataDxfId="279">
      <calculatedColumnFormula>IF(xxx_Jars25[[#This Row],[Jar Type]]="", "", TEXT(_xlfn.XLOOKUP(xxx_Jars25[[#This Row],[Jar Type]], 'Containers'!A:A, 'Containers'!C:C), "General"))</calculatedColumnFormula>
    </tableColumn>
    <tableColumn id="21" xr3:uid="{D2967C4E-FBB0-40F1-8AC6-FCF0258029AC}" name="Autoclaved" dataDxfId="278"/>
    <tableColumn id="8" xr3:uid="{83A1A32C-2BF1-4E23-B211-83961178AEF4}" name="Date Made" dataDxfId="277"/>
    <tableColumn id="13" xr3:uid="{8685448D-F5AC-4308-A9A2-4077F752C1D4}" name="Water Type" dataDxfId="276"/>
    <tableColumn id="18" xr3:uid="{ACFBA6D5-E773-4CAA-8B33-9449C9381785}" name="Expected Water (min, mL)" dataDxfId="275">
      <calculatedColumnFormula array="1">IF(_xlfn.SINGLE(xxx_Jars25[Jar Type])="", "", TEXT(IFERROR(MEDIAN(_xlfn._xlws.FILTER(VALUE(xxx_Jars25[Water Added (mL)]), (xxx_Jars25[Jar Purpose]=xxx_Jars25[[#This Row],[Jar Purpose]])*(xxx_Jars25[Jar Type]=xxx_Jars25[[#This Row],[Jar Type]])*(#REF!="1"))), 0), "0000"))</calculatedColumnFormula>
    </tableColumn>
    <tableColumn id="22" xr3:uid="{252F991E-336A-4C92-8246-6F0150089278}" name="Expected Water (max, mL)" dataDxfId="274">
      <calculatedColumnFormula array="1">IF(_xlfn.SINGLE(xxx_Jars25[Jar Type])="", "", TEXT(IFERROR(MEDIAN(_xlfn._xlws.FILTER(VALUE(xxx_Jars25[Water Added (mL)]), (xxx_Jars25[Jar Purpose]=xxx_Jars25[[#This Row],[Jar Purpose]])*(xxx_Jars25[Jar Type]=xxx_Jars25[[#This Row],[Jar Type]])*(#REF!="0"))), 0), "0000"))</calculatedColumnFormula>
    </tableColumn>
    <tableColumn id="2" xr3:uid="{F11E2AFF-86A3-435F-A5AB-46A347F5E453}" name="Water Added (mL)" dataDxfId="273"/>
    <tableColumn id="14" xr3:uid="{B421601C-0F82-4296-956D-5E7B685C99B5}" name="Water Level from Top (mm)" dataDxfId="272"/>
    <tableColumn id="27" xr3:uid="{C5D281CB-838A-4F3C-A982-06794C505538}" name="Target PPM Nitrogen" dataDxfId="271"/>
    <tableColumn id="31" xr3:uid="{6CC17F6A-39ED-465F-A1A8-1080E22E6E0D}" name="Fertilizer" dataDxfId="270"/>
    <tableColumn id="3" xr3:uid="{0F455FE8-B7B1-46DD-BDED-C7A3EDD6799F}" name="Fertilizer Added (g)" dataDxfId="269"/>
    <tableColumn id="17" xr3:uid="{C79573C3-8963-45FF-85FC-70FA298060AD}" name="Fertilizer Added" dataDxfId="268">
      <calculatedColumnFormula>IFERROR(VALUE(xxx_Jars25[[#This Row],[Fertilizer Added (g)]]), 0)</calculatedColumnFormula>
    </tableColumn>
    <tableColumn id="5" xr3:uid="{CB753BEB-DD1F-4DF8-98CF-834154A575E9}" name="pH Procedure" dataDxfId="267"/>
    <tableColumn id="7" xr3:uid="{10773375-3EF9-42F4-B74D-06921FCD3B98}" name="Initial pH" dataDxfId="266"/>
    <tableColumn id="4" xr3:uid="{976A8C34-D05C-4D29-9E28-944521288CC0}" name="Initial EC (μS)" dataDxfId="265"/>
    <tableColumn id="20" xr3:uid="{25B58F3F-1955-4F99-86FA-1923A4CB9A81}" name="Growing Status" dataDxfId="264">
      <calculatedColumnFormula>IF(xxx_Jars25[[#This Row],[Jar]]="", "", IFERROR(IFERROR(_xlfn.XLOOKUP(xxx_Jars25[[#This Row],[Jar]], Growing[Growing Jar], Growing[Status]), _xlfn.XLOOKUP(xxx_Jars25[[#This Row],[Jar]], Growing[Seeding Jar], Growing[Status])), "Ready"))</calculatedColumnFormula>
    </tableColumn>
    <tableColumn id="6" xr3:uid="{E07D585C-F31F-4D01-A09A-35E44FE0BF02}" name="Final pH" dataDxfId="263"/>
    <tableColumn id="19" xr3:uid="{447328C7-2E7D-4F5C-9497-7A3434A50EAD}" name="Final EC (μS/cm)" dataDxfId="262"/>
    <tableColumn id="26" xr3:uid="{FA757504-EF12-4F71-AEFC-77BDC46AB989}" name="Water Added?" dataDxfId="261">
      <calculatedColumnFormula array="1">_xlfn.LET(
    _xlpm.water, xxx_Jars25[[#This Row],[Water Added (mL)]],
    _xlpm.additional,#REF!,
    IF( _xlpm.water="", "", IF(_xlpm.additional="Unknown", VALUE(_xlpm.water), VALUE(_xlpm.water)+VALUE(_xlpm.additional)))
)</calculatedColumnFormula>
    </tableColumn>
    <tableColumn id="25" xr3:uid="{2D001A34-1042-40AC-9DCF-85BBF203407F}" name="C:Total Fertilizer Added (g)" dataDxfId="260">
      <calculatedColumnFormula>IFERROR(SUM(_xlfn.SINGLE(xxx_Jars25[Fertilizer Added]), _xlfn.XLOOKUP(_xlfn.SINGLE(xxx_Jars25[Jar]), JarsPlusPlus_2[Jar], JarsPlusPlus_2[C:Total Fertilizer Added (g)])), _xlfn.SINGLE(xxx_Jars25[Fertilizer Added]))</calculatedColumnFormula>
    </tableColumn>
    <tableColumn id="9" xr3:uid="{1D0B2555-5608-425A-886E-8C58352A2964}" name="Exterior" dataDxfId="259"/>
    <tableColumn id="16" xr3:uid="{38D20DF4-935E-49B4-9A38-215574C111EE}" name="Shade" dataDxfId="258"/>
    <tableColumn id="15" xr3:uid="{9DB6CDDF-D64D-4B2A-B410-8440253DC998}" name="Notes" dataDxfId="257"/>
  </tableColumns>
  <tableStyleInfo name="TableStyleMedium2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88BC65D3-81BE-49BA-9148-563FE705A195}" name="xxx_Jars40" displayName="xxx_Jars40" ref="A10:AA60" totalsRowShown="0" headerRowDxfId="251" dataDxfId="250">
  <autoFilter ref="A10:AA60" xr:uid="{184D8FC6-22CB-4693-81FF-C1B0418E63E9}"/>
  <tableColumns count="27">
    <tableColumn id="1" xr3:uid="{78A1CF92-3395-44F4-9468-379D618A4C78}" name="Jar"/>
    <tableColumn id="11" xr3:uid="{373558CB-A547-4735-81A0-12E758EAD3D5}" name="Jar Type" dataDxfId="249"/>
    <tableColumn id="10" xr3:uid="{A96615AF-6345-4750-ACB7-39DD03B4EFB0}" name="Jar Name" dataDxfId="248"/>
    <tableColumn id="12" xr3:uid="{9F732ED4-CCAD-4046-99CB-A667CC30B99F}" name="Jar Purpose" dataDxfId="247"/>
    <tableColumn id="40" xr3:uid="{0F7078DB-D7C8-4941-B507-F64EBEA04193}" name="Jar Size (mL)" dataDxfId="246">
      <calculatedColumnFormula>IF(xxx_Jars40[[#This Row],[Jar Type]]="", "", TEXT(_xlfn.XLOOKUP(xxx_Jars40[[#This Row],[Jar Type]], 'Containers'!A:A, 'Containers'!C:C), "General"))</calculatedColumnFormula>
    </tableColumn>
    <tableColumn id="21" xr3:uid="{7FA1A67F-4D82-4B24-A920-56C07F2A4C33}" name="Autoclaved" dataDxfId="245"/>
    <tableColumn id="8" xr3:uid="{C8282933-C470-48DE-9150-98D88FD3B169}" name="Date Made" dataDxfId="244"/>
    <tableColumn id="13" xr3:uid="{41D8B952-4E04-4D41-846B-A1FCEF7698B0}" name="Water Type" dataDxfId="243"/>
    <tableColumn id="18" xr3:uid="{E3C5B3F7-0A4D-42BF-AE46-D6293CFB2D41}" name="Expected Water (min, mL)" dataDxfId="242">
      <calculatedColumnFormula array="1">IF(_xlfn.SINGLE(xxx_Jars40[Jar Type])="", "", TEXT(IFERROR(MEDIAN(_xlfn._xlws.FILTER(VALUE(xxx_Jars40[Water Added (mL)]), (xxx_Jars40[Jar Purpose]=xxx_Jars40[[#This Row],[Jar Purpose]])*(xxx_Jars40[Jar Type]=xxx_Jars40[[#This Row],[Jar Type]])*(#REF!="1"))), 0), "0000"))</calculatedColumnFormula>
    </tableColumn>
    <tableColumn id="22" xr3:uid="{8803BA16-4F80-43DF-85A1-5851F995F5D7}" name="Expected Water (max, mL)" dataDxfId="241">
      <calculatedColumnFormula array="1">IF(_xlfn.SINGLE(xxx_Jars40[Jar Type])="", "", TEXT(IFERROR(MEDIAN(_xlfn._xlws.FILTER(VALUE(xxx_Jars40[Water Added (mL)]), (xxx_Jars40[Jar Purpose]=xxx_Jars40[[#This Row],[Jar Purpose]])*(xxx_Jars40[Jar Type]=xxx_Jars40[[#This Row],[Jar Type]])*(#REF!="0"))), 0), "0000"))</calculatedColumnFormula>
    </tableColumn>
    <tableColumn id="2" xr3:uid="{1FFCFADD-64BE-4BE7-9C53-FA3A2ECD27BB}" name="Water Added (mL)" dataDxfId="240"/>
    <tableColumn id="14" xr3:uid="{0B6FD256-8BF0-4129-8E97-0178039DCC3A}" name="Water Level from Top (mm)" dataDxfId="239"/>
    <tableColumn id="27" xr3:uid="{0373DDAA-7314-4FC1-A7E2-2B66909AAA88}" name="Target PPM Nitrogen" dataDxfId="238"/>
    <tableColumn id="31" xr3:uid="{5C6A063A-6F26-48FE-9A4C-AC22C711DD74}" name="Fertilizer" dataDxfId="237"/>
    <tableColumn id="3" xr3:uid="{B0FC1198-7F43-4814-B993-F0FEACF34DE9}" name="Fertilizer Added (g)" dataDxfId="236"/>
    <tableColumn id="17" xr3:uid="{46F6AF0E-BACA-421F-9DD0-0CBABE96A741}" name="Fertilizer Added" dataDxfId="235">
      <calculatedColumnFormula>IFERROR(VALUE(xxx_Jars40[[#This Row],[Fertilizer Added (g)]]), 0)</calculatedColumnFormula>
    </tableColumn>
    <tableColumn id="5" xr3:uid="{CB82B3BB-62C9-4C3F-8182-B1A954796F90}" name="pH Procedure" dataDxfId="234"/>
    <tableColumn id="7" xr3:uid="{A5E6B156-F7F8-4945-ADC2-E438B80B4147}" name="Initial pH" dataDxfId="233"/>
    <tableColumn id="4" xr3:uid="{E821FA49-536F-4741-B201-14F1796511A5}" name="Initial EC (μS)" dataDxfId="232"/>
    <tableColumn id="20" xr3:uid="{29EE8FCE-EBB9-4A15-BA6A-4696A23571E8}" name="Growing Status" dataDxfId="231">
      <calculatedColumnFormula>IF(xxx_Jars40[[#This Row],[Jar]]="", "", IFERROR(IFERROR(_xlfn.XLOOKUP(xxx_Jars40[[#This Row],[Jar]], Growing[Growing Jar], Growing[Status]), _xlfn.XLOOKUP(xxx_Jars40[[#This Row],[Jar]], Growing[Seeding Jar], Growing[Status])), "Ready"))</calculatedColumnFormula>
    </tableColumn>
    <tableColumn id="6" xr3:uid="{A2B6CE66-1528-41A2-9CAF-814BF9545E90}" name="Final pH" dataDxfId="230"/>
    <tableColumn id="19" xr3:uid="{D8E77E73-2227-4A8F-8017-93C5ECABF9FE}" name="Final EC (μS/cm)" dataDxfId="229"/>
    <tableColumn id="26" xr3:uid="{CC30D4ED-0705-4EEC-8E93-5ACA5D2D1B74}" name="Water Added?" dataDxfId="228">
      <calculatedColumnFormula array="1">_xlfn.LET(
    _xlpm.water, xxx_Jars40[[#This Row],[Water Added (mL)]],
    _xlpm.additional,#REF!,
    IF( _xlpm.water="", "", IF(_xlpm.additional="Unknown", VALUE(_xlpm.water), VALUE(_xlpm.water)+VALUE(_xlpm.additional)))
)</calculatedColumnFormula>
    </tableColumn>
    <tableColumn id="25" xr3:uid="{B44318EC-2283-4734-AE69-DFC9180EF918}" name="C:Total Fertilizer Added (g)" dataDxfId="227">
      <calculatedColumnFormula>IFERROR(SUM(_xlfn.SINGLE(xxx_Jars40[Fertilizer Added]), _xlfn.XLOOKUP(_xlfn.SINGLE(xxx_Jars40[Jar]), JarsPlusPlus_2[Jar], JarsPlusPlus_2[C:Total Fertilizer Added (g)])), _xlfn.SINGLE(xxx_Jars40[Fertilizer Added]))</calculatedColumnFormula>
    </tableColumn>
    <tableColumn id="9" xr3:uid="{B564E80C-D1C2-4176-AAFD-4E6DF0416AA4}" name="Exterior" dataDxfId="226"/>
    <tableColumn id="16" xr3:uid="{C8144A6D-F959-4624-9F17-A9446340AEE0}" name="Shade" dataDxfId="225"/>
    <tableColumn id="15" xr3:uid="{AC93A304-CFC4-485B-A802-80833929B04E}" name="Notes" dataDxfId="224"/>
  </tableColumns>
  <tableStyleInfo name="TableStyleMedium2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49EAD83-430F-4257-9292-8EE939A13D7E}" name="Jars" displayName="Jars" ref="A10:T60" totalsRowShown="0" headerRowDxfId="219" dataDxfId="218">
  <autoFilter ref="A10:T60" xr:uid="{184D8FC6-22CB-4693-81FF-C1B0418E63E9}"/>
  <tableColumns count="20">
    <tableColumn id="1" xr3:uid="{44F19964-4971-4133-B3CF-F8238D9C0CBC}" name="Jar"/>
    <tableColumn id="11" xr3:uid="{F0605EAD-DE1E-4186-A18A-4D0F2F9F6064}" name="Jar Type" dataDxfId="217"/>
    <tableColumn id="10" xr3:uid="{FE453BA3-66DB-4536-8B3D-35040B6ABE46}" name="Jar Name" dataDxfId="216"/>
    <tableColumn id="12" xr3:uid="{30E6149B-91DB-4B67-A56B-D46ABCFF85B8}" name="Jar Purpose" dataDxfId="215"/>
    <tableColumn id="40" xr3:uid="{9872DFEF-AE39-47D2-90D1-3A4D57C2C21F}" name="Jar Size (mL)" dataDxfId="214">
      <calculatedColumnFormula>IF(Jars[[#This Row],[Jar Type]]="", "", TEXT(_xlfn.XLOOKUP(Jars[[#This Row],[Jar Type]], 'Containers'!A:A, 'Containers'!C:C), "General"))</calculatedColumnFormula>
    </tableColumn>
    <tableColumn id="21" xr3:uid="{CDAADD7A-0F2C-42CF-A185-9641D0CA8FDB}" name="Autoclaved" dataDxfId="213"/>
    <tableColumn id="8" xr3:uid="{144F692C-501E-4145-A99D-1BE3D2E80EDA}" name="Date Made" dataDxfId="212"/>
    <tableColumn id="18" xr3:uid="{8E6A52C3-D4BE-49B4-9AA3-CD8002B9F1B6}" name="Expected Water (min, mL)" dataDxfId="211">
      <calculatedColumnFormula array="1">IF(_xlfn.SINGLE(Jars[Jar Type])="", "", TEXT(IFERROR(MEDIAN(_xlfn._xlws.FILTER(VALUE(Jars[Total Water Added (mL)]), (Jars[Jar Purpose]=Jars[[#This Row],[Jar Purpose]])*(Jars[Jar Type]=Jars[[#This Row],[Jar Type]])*(_xlfn.SINGLE(Jars[Water Added?])="1"))), 0), "0000"))</calculatedColumnFormula>
    </tableColumn>
    <tableColumn id="22" xr3:uid="{D6EDE8C8-F494-4453-9297-E703851BA48A}" name="Expected Water (max, mL)" dataDxfId="210">
      <calculatedColumnFormula array="1">IF(_xlfn.SINGLE(Jars[Jar Type])="", "", TEXT(IFERROR(MEDIAN(_xlfn._xlws.FILTER(VALUE(Jars[Total Water Added (mL)]), (Jars[Jar Purpose]=Jars[[#This Row],[Jar Purpose]])*(Jars[Jar Type]=Jars[[#This Row],[Jar Type]])*(_xlfn.SINGLE(Jars[Water Added?])="0"))), 0), "0000"))</calculatedColumnFormula>
    </tableColumn>
    <tableColumn id="5" xr3:uid="{19FCA153-17B7-4051-A589-2E97CD427778}" name="pH Procedure" dataDxfId="209"/>
    <tableColumn id="7" xr3:uid="{B90E0C74-5789-4C43-BF1E-6D076BE5A128}" name="Initial pH" dataDxfId="208">
      <calculatedColumnFormula array="1">IF(Jars[[#This Row],[Jar]]="", "", IFERROR(_xlfn.XLOOKUP(1, (JarsPlusPlus_1[Jar]=Jars[[#This Row],[Jar]])*(JarsPlusPlus_1[Date Added]=Jars[[#This Row],[Date Made]]), JarsPlusPlus_1[Final pH]), "Unknown"))</calculatedColumnFormula>
    </tableColumn>
    <tableColumn id="4" xr3:uid="{A1E2F699-2FC6-4978-932D-D7B167F79F8A}" name="Initial EC (μS)" dataDxfId="207">
      <calculatedColumnFormula array="1">IF(Jars[[#This Row],[Jar]]="", "", IFERROR(_xlfn.XLOOKUP(1, (JarsPlusPlus_1[Jar]=Jars[[#This Row],[Jar]])*(JarsPlusPlus_1[Date Added]=Jars[[#This Row],[Date Made]]), JarsPlusPlus_1[Final EC (μS/cm)]), "Unknown"))</calculatedColumnFormula>
    </tableColumn>
    <tableColumn id="20" xr3:uid="{01420999-671B-430D-BF87-D2951EBFD33A}" name="Growing Status" dataDxfId="206">
      <calculatedColumnFormula>IF(Jars[[#This Row],[Jar]]="", "", IFERROR(IFERROR(_xlfn.XLOOKUP(Jars[[#This Row],[Jar]], Growing[Growing Jar], Growing[Status]), _xlfn.XLOOKUP(Jars[[#This Row],[Jar]], Growing[Seeding Jar], Growing[Status])), "Ready"))</calculatedColumnFormula>
    </tableColumn>
    <tableColumn id="6" xr3:uid="{E06AD334-BF64-4428-B8F1-86D162B93C30}" name="Final pH" dataDxfId="205"/>
    <tableColumn id="19" xr3:uid="{427E8067-9736-46C9-925D-430492C58F29}" name="Final EC (μS/cm)" dataDxfId="204"/>
    <tableColumn id="26" xr3:uid="{1D622B96-72C1-4622-82BC-2D44A5AE8128}" name="Water Added?" dataDxfId="203">
      <calculatedColumnFormula array="1">_xlfn.LET(
    _xlpm.water, Jars[[#This Row],[Total Water Added (mL)]],
    _xlpm.additional,#REF!,
    IF( _xlpm.water="", "", IF(_xlpm.additional="Unknown", VALUE(_xlpm.water), VALUE(_xlpm.water)+VALUE(_xlpm.additional)))
)</calculatedColumnFormula>
    </tableColumn>
    <tableColumn id="2" xr3:uid="{136703CD-BCE7-469C-A3E6-6C970BFFB86E}" name="Total Water Added (mL)" dataDxfId="202">
      <calculatedColumnFormula>IF(Jars[[#This Row],[Jar]]="", "", IFERROR(SUM(_xlfn.XLOOKUP(Jars[[#This Row],[Jar]], JarsPlusPlus_4[Jar], JarsPlusPlus_4[C:Total Water Added (mL)])), "Unknown"))</calculatedColumnFormula>
    </tableColumn>
    <tableColumn id="9" xr3:uid="{CCA9FD24-4763-44F3-A1BC-4C94169B0128}" name="Exterior" dataDxfId="201"/>
    <tableColumn id="16" xr3:uid="{54E50672-321E-40A9-ABE0-D4F0AA30D2B5}" name="Shade" dataDxfId="200"/>
    <tableColumn id="15" xr3:uid="{EE2D6AB8-0F20-4011-98BE-FD91016C652A}" name="Notes" dataDxfId="199"/>
  </tableColumns>
  <tableStyleInfo name="TableStyleMedium2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A4890B-360D-4FA8-9E07-AF913BCDC852}" name="zzz_20260926_Seeding_and_Growing" displayName="zzz_20260926_Seeding_and_Growing" ref="A10:AG66" totalsRowShown="0" headerRowDxfId="196" dataDxfId="195">
  <autoFilter ref="A10:AG66" xr:uid="{184D8FC6-22CB-4693-81FF-C1B0418E63E9}"/>
  <tableColumns count="33">
    <tableColumn id="38" xr3:uid="{19895B22-8613-40B9-ACC7-FFD17B4BB3C6}" name="Seeding Jar" dataDxfId="194"/>
    <tableColumn id="40" xr3:uid="{7C5809CE-CC2F-45C9-BF73-DC3B32C32DB9}" name="Growing Jar" dataDxfId="193"/>
    <tableColumn id="10" xr3:uid="{557B655B-07D4-4231-945C-86C33909E602}" name="Growing Jar Name" dataDxfId="192">
      <calculatedColumnFormula>IF(zzz_20260926_Seeding_and_Growing[[#This Row],[Growing Jar]]="None", "None", IF(zzz_20260926_Seeding_and_Growing[[#This Row],[Growing Jar]]="", "", _xlfn.XLOOKUP(zzz_20260926_Seeding_and_Growing[[#This Row],[Growing Jar]],Jars!A:A,Jars!C:C)))</calculatedColumnFormula>
    </tableColumn>
    <tableColumn id="16" xr3:uid="{540FE434-CEB2-4786-8287-41C88138BD2A}" name="Date Seeded" dataDxfId="191"/>
    <tableColumn id="35" xr3:uid="{6B49A184-1025-4E3D-8C3C-2CFB013FF086}" name="Net Cup (in)" dataDxfId="190"/>
    <tableColumn id="13" xr3:uid="{79AD3367-988B-4BDC-8602-A735C5671BFB}" name="Growing Medium" dataDxfId="189"/>
    <tableColumn id="9" xr3:uid="{70A6FA72-202E-498C-8A93-052D781C53C9}" name="Seed" dataDxfId="188"/>
    <tableColumn id="11" xr3:uid="{4978D407-B872-4EBF-80A0-55EC34D2D070}" name="3% H2O2 Scarification?" dataDxfId="187"/>
    <tableColumn id="36" xr3:uid="{1D2E8037-71CB-4CCB-8B0B-B4E6961B645A}" name="Expected Germination" dataDxfId="186">
      <calculatedColumnFormula>IF(D11="", "", IF(D11="Unknown", "Unknown", TEXT(D11+_xlfn.XLOOKUP(G11,Seeds!A:A,Seeds!I:I),"yyyy-MM-dd")&amp;"—"&amp;TEXT(D11+_xlfn.XLOOKUP(G11,Seeds!A:A,Seeds!J:J),"yyyy-MM-dd")))</calculatedColumnFormula>
    </tableColumn>
    <tableColumn id="39" xr3:uid="{D90B9447-B7B2-4E79-894C-50A30168E443}" name="Actual Germination" dataDxfId="185"/>
    <tableColumn id="2" xr3:uid="{4E04DD8C-E567-4856-95F2-DEC0590012EB}" name="Transplant Root Length (mm)" dataDxfId="184"/>
    <tableColumn id="1" xr3:uid="{2C628202-C424-4B00-8AAC-E45D04C36DE5}" name="Transplant Date" dataDxfId="183"/>
    <tableColumn id="12" xr3:uid="{B1A95919-A1FC-40FF-A193-CA7D1AA0AC4E}" name="Added 3% H202 for O2?" dataDxfId="182"/>
    <tableColumn id="23" xr3:uid="{D635D3AE-AD62-4A92-BD97-7C93D7D5301A}" name="Expected Harvest" dataDxfId="181">
      <calculatedColumnFormula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calculatedColumnFormula>
    </tableColumn>
    <tableColumn id="20" xr3:uid="{0AA105C5-381C-444D-96FA-99A866B9EBC3}" name="Harvest Method" dataDxfId="180"/>
    <tableColumn id="17" xr3:uid="{69B60585-6CD2-44D8-ADC5-83D33DE14C09}" name="Date of 1st Harvest" dataDxfId="179"/>
    <tableColumn id="29" xr3:uid="{17387C3D-D022-40CD-92A2-A27CBC67C9CB}" name="Harvest Weight (1st, g)" dataDxfId="178"/>
    <tableColumn id="32" xr3:uid="{CB4226D2-D9F6-4EDE-93E3-A18B34069988}" name="Number of +Leaves (1st)" dataDxfId="177"/>
    <tableColumn id="24" xr3:uid="{3E0E7571-C4FE-496E-A403-82D1C97B5B08}" name="Number of -Leaves (1st)" dataDxfId="176"/>
    <tableColumn id="22" xr3:uid="{301F5CF5-49B4-4623-B990-5775E2DFD5F0}" name="Date of 2nd Harvest" dataDxfId="175"/>
    <tableColumn id="30" xr3:uid="{90D33F92-0F94-4C0F-B800-1FA78AB178DB}" name="Harvest Weight (2nd, g)" dataDxfId="174"/>
    <tableColumn id="34" xr3:uid="{FA1C936B-6BAC-4144-9BD4-AC25C15546FF}" name="Number of +Leaves (2nd)" dataDxfId="173"/>
    <tableColumn id="25" xr3:uid="{85A09052-F9E0-4EC5-B89C-02C1A9AFB69F}" name="Number of -Leaves (2nd)" dataDxfId="172"/>
    <tableColumn id="18" xr3:uid="{B8260472-8265-458F-AB4E-28DF6E4A3E39}" name="Date Terminated" dataDxfId="171"/>
    <tableColumn id="19" xr3:uid="{99278341-A782-4CB4-852A-24F7DC9ABBD6}" name="Stopped Reason" dataDxfId="170"/>
    <tableColumn id="31" xr3:uid="{A983C208-A066-4FD4-9C6E-DFD04E4697BE}" name="Stem Diameter (1st, mm)" dataDxfId="169"/>
    <tableColumn id="33" xr3:uid="{A5FAF149-DC2F-48F5-A800-FB57341C45E5}" name="Stem Diameter (2nd, mm)" dataDxfId="168"/>
    <tableColumn id="26" xr3:uid="{FD89E183-2AEF-4CC1-A504-06A6A155EE15}" name="Root Color" dataDxfId="167"/>
    <tableColumn id="27" xr3:uid="{BCE1971C-91A9-4763-9F02-BC04F3804BDE}" name="Root Branching" dataDxfId="166"/>
    <tableColumn id="28" xr3:uid="{D9F13CBB-B62B-49E7-BF3F-00A1B070ABBC}" name="Root Texture" dataDxfId="165"/>
    <tableColumn id="14" xr3:uid="{1DAE7CB4-99F4-443B-A0D3-DD2917D3DC09}" name="pH After Death" dataDxfId="164"/>
    <tableColumn id="21" xr3:uid="{96095A24-134B-4FD0-B125-10C59C2C57DF}" name="EC After Death (μS)" dataDxfId="163"/>
    <tableColumn id="15" xr3:uid="{EF49D56E-F5F5-411B-AA0A-5F937369F697}" name="Notes" dataDxfId="162"/>
  </tableColumns>
  <tableStyleInfo name="TableStyleMedium2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366CA5-E3FD-4813-9540-4BF4D0B9E49F}" name="zzz_20260926_Harvest_and_Storage" displayName="zzz_20260926_Harvest_and_Storage" ref="A10:K44" totalsRowShown="0" headerRowDxfId="159" dataDxfId="158">
  <autoFilter ref="A10:K44" xr:uid="{04B7A519-E55D-4934-8B07-F1C8A7A5263E}"/>
  <tableColumns count="11">
    <tableColumn id="1" xr3:uid="{026D8677-C435-474C-81D0-AB102D4FF093}" name="Name" dataDxfId="157"/>
    <tableColumn id="14" xr3:uid="{34B379DE-4E3A-4AEB-AE02-3AF341BBB66F}" name="Date Harvested" dataDxfId="156"/>
    <tableColumn id="7" xr3:uid="{0E2A448D-6660-4AD1-87F6-A190B77B6617}" name="Plant" dataDxfId="155"/>
    <tableColumn id="9" xr3:uid="{63E72551-B7EB-47EA-9164-EDCBB714A1DB}" name="Drying Procedure" dataDxfId="154"/>
    <tableColumn id="10" xr3:uid="{C9297F32-5867-4785-899B-D271D9D73CC5}" name="Taste" dataDxfId="153"/>
    <tableColumn id="3" xr3:uid="{AE3D6BA2-2AD4-40AA-9889-2DB9454CFFD5}" name="Storage Media" dataDxfId="152"/>
    <tableColumn id="8" xr3:uid="{4875E208-9F1B-4E5F-BCA0-31B760E50442}" name="Storage Location" dataDxfId="151"/>
    <tableColumn id="4" xr3:uid="{5EA8AD7A-FAD0-4008-9F29-EA234DA6DF38}" name="Date First Wilted" dataDxfId="150"/>
    <tableColumn id="5" xr3:uid="{23BC8BB6-C364-4239-B166-F2D097F824F5}" name="Date of Spoilage" dataDxfId="149"/>
    <tableColumn id="11" xr3:uid="{5A791B18-B755-4D87-BB7D-939C4CDA0898}" name="Spoilage Reason" dataDxfId="148"/>
    <tableColumn id="6" xr3:uid="{D2309F1D-EFD1-4022-8A13-294E5584B8A9}" name="Notes" dataDxfId="147"/>
  </tableColumns>
  <tableStyleInfo name="TableStyleMedium2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ADF7B22-E425-419E-9CFC-6932243118D1}" name="xxx_JarsPlusPlus_126" displayName="xxx_JarsPlusPlus_126" ref="A10:L35" totalsRowShown="0">
  <autoFilter ref="A10:L35" xr:uid="{060E40AC-59BA-4134-9D36-13FDE6ACAE83}"/>
  <tableColumns count="12">
    <tableColumn id="1" xr3:uid="{9206BB08-9842-4B89-A7A0-B1E14715FAC5}" name="Jar"/>
    <tableColumn id="3" xr3:uid="{436A4EB1-E821-4E83-990D-4139EF7DF7D9}" name="Date Added"/>
    <tableColumn id="2" xr3:uid="{16594A2E-D2B5-4D15-A79B-B1DE6A81204A}" name="Initial pH"/>
    <tableColumn id="4" xr3:uid="{E32297EE-018B-42F7-9105-091010F287ED}" name="Initial EC (μs/cm)"/>
    <tableColumn id="9" xr3:uid="{83D2F70D-535F-4A94-988B-B45777B3B188}" name="Water Type"/>
    <tableColumn id="24" xr3:uid="{71F5D8A5-FBD6-405B-8556-07DF813F14CF}" name="Water Added (mL)"/>
    <tableColumn id="5" xr3:uid="{9E05A839-EF47-4D07-BFE5-B6C137F73054}" name="V:Water Added (mL)">
      <calculatedColumnFormula>IFERROR(VALUE(xxx_JarsPlusPlus_126[[#This Row],[Water Added (mL)]]), 0)</calculatedColumnFormula>
    </tableColumn>
    <tableColumn id="14" xr3:uid="{F8E8144C-CF60-424B-BFC9-83705629E27D}" name="Target PPM Nitrogen"/>
    <tableColumn id="23" xr3:uid="{676F0B0B-9FA5-4F72-B1D2-BB0B11384B0A}" name="Fertilizer Added (g)"/>
    <tableColumn id="6" xr3:uid="{C2AA7C91-1F35-45BF-A0C6-781958AB2447}" name="V:Fertilizer Added (g)">
      <calculatedColumnFormula>IFERROR(VALUE(xxx_JarsPlusPlus_126[[#This Row],[Fertilizer Added (g)]]), 0)</calculatedColumnFormula>
    </tableColumn>
    <tableColumn id="19" xr3:uid="{02995254-2E44-4B66-B695-DB0CA80CE216}" name="Final pH"/>
    <tableColumn id="18" xr3:uid="{10352B12-6D05-44B8-9025-BDD14492FBCB}" name="Final EC (μS/cm)"/>
  </tableColumns>
  <tableStyleInfo name="TableStyleMedium2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E6153DD7-0434-4BBB-B830-370B8299A224}" name="xxx_JarsPlusPlus_227" displayName="xxx_JarsPlusPlus_227" ref="Q10:S34" totalsRowShown="0">
  <autoFilter ref="Q10:S34" xr:uid="{3B6ACAD2-696F-4AD9-A0BA-72F0BBE77D74}"/>
  <tableColumns count="3">
    <tableColumn id="3" xr3:uid="{29C5CFA1-475E-4E74-A511-17D6A50EAD78}" name="Jar">
      <calculatedColumnFormula array="1">_xlfn.LET(_xlpm.value, OFFSET(INDIRECT(ADDRESS(ROW(),COLUMN())),0,-3), IF(_xlpm.value="","",_xlpm.value))</calculatedColumnFormula>
    </tableColumn>
    <tableColumn id="1" xr3:uid="{A5EC9FF2-E389-44A8-AF55-EDFC7CE9D259}" name="C:Total Water Added (mL)">
      <calculatedColumnFormula array="1">_xlfn.LET(_xlpm.value, OFFSET(INDIRECT(ADDRESS(ROW(),COLUMN())),0,-3), IF(_xlpm.value="","",_xlpm.value))</calculatedColumnFormula>
    </tableColumn>
    <tableColumn id="2" xr3:uid="{7A565AC2-06AB-4F18-8DEB-CB167C9CD924}" name="C:Total Fertilizer Added (g)">
      <calculatedColumnFormula array="1">_xlfn.LET(_xlpm.value, OFFSET(INDIRECT(ADDRESS(ROW(),COLUMN())),0,-3), IF(_xlpm.value="","",_xlpm.value))</calculatedColumnFormula>
    </tableColumn>
  </tableColumns>
  <tableStyleInfo name="TableStyleMedium2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5A87F5AF-A0EE-42A3-B571-0DB8B8EDFAFB}" name="xxx_JarsPlusPlus_123123" displayName="xxx_JarsPlusPlus_123123" ref="A10:M35" totalsRowShown="0">
  <autoFilter ref="A10:M35" xr:uid="{060E40AC-59BA-4134-9D36-13FDE6ACAE83}"/>
  <tableColumns count="13">
    <tableColumn id="1" xr3:uid="{DEEF53DC-8E3D-4C86-945D-C46604286979}" name="Jar"/>
    <tableColumn id="3" xr3:uid="{9BC65C9E-5960-476E-AAA6-78DA596E0B64}" name="Date Added"/>
    <tableColumn id="2" xr3:uid="{53B9641D-BDF5-47F1-8E1D-FD21CAD2EB05}" name="Initial pH"/>
    <tableColumn id="4" xr3:uid="{39014F37-6497-4105-A0B7-11FBAE748350}" name="Initial EC (μs/cm)"/>
    <tableColumn id="9" xr3:uid="{F0C0EF4A-B72B-4F4C-BA6A-4F4B6CC3D4A0}" name="Water Type"/>
    <tableColumn id="24" xr3:uid="{A47B35AE-79E9-411E-B3A9-7BF054FB7C73}" name="Water Added (mL)"/>
    <tableColumn id="5" xr3:uid="{2F32CDE2-0BC8-43B4-BBEA-84159BD4E3ED}" name="V:Water Added (mL)">
      <calculatedColumnFormula>IFERROR(VALUE(xxx_JarsPlusPlus_123123[[#This Row],[Water Added (mL)]]), 0)</calculatedColumnFormula>
    </tableColumn>
    <tableColumn id="7" xr3:uid="{A5665A3C-C01D-4796-B29D-37F34412AF5D}" name="Fertilizer"/>
    <tableColumn id="14" xr3:uid="{54A39FF8-03E5-4262-910A-1C9AA1402758}" name="Target PPM Nitrogen"/>
    <tableColumn id="23" xr3:uid="{6675A9B4-792A-4330-AC95-72B60EF3F46A}" name="Fertilizer Added (g)"/>
    <tableColumn id="6" xr3:uid="{F5CE4D69-FA56-4FED-9E69-680549367621}" name="V:Fertilizer Added (g)" dataDxfId="143">
      <calculatedColumnFormula>IFERROR(VALUE(xxx_JarsPlusPlus_123123[[#This Row],[Fertilizer Added (g)]]), 0)</calculatedColumnFormula>
    </tableColumn>
    <tableColumn id="19" xr3:uid="{432174BA-BBD9-4011-9326-F81208972F7B}" name="Final pH"/>
    <tableColumn id="18" xr3:uid="{CABAFE20-0170-4DE8-8406-AD4C9D1A7C6E}" name="Final EC (μS/cm)"/>
  </tableColumns>
  <tableStyleInfo name="TableStyleMedium2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1289559E-CE9D-4529-867C-DDCA0E5C3DA0}" name="xxx_JarsPlusPlus_244" displayName="xxx_JarsPlusPlus_244" ref="Q10:T34" totalsRowShown="0">
  <autoFilter ref="Q10:T34" xr:uid="{3B6ACAD2-696F-4AD9-A0BA-72F0BBE77D74}"/>
  <tableColumns count="4">
    <tableColumn id="3" xr3:uid="{18A0294A-0898-4474-9465-6414319D2C5B}" name="Jar" dataDxfId="142">
      <calculatedColumnFormula array="1">_xlfn.LET(_xlpm.value, OFFSET(INDIRECT(ADDRESS(ROW(),COLUMN())),0,-2), IF(_xlpm.value="","",_xlpm.value))</calculatedColumnFormula>
    </tableColumn>
    <tableColumn id="4" xr3:uid="{D1D0035D-A6D5-4248-915E-23B8A504C71A}" name="Fertilizer" dataDxfId="141">
      <calculatedColumnFormula array="1">_xlfn.LET(_xlpm.value, OFFSET(INDIRECT(ADDRESS(ROW(),COLUMN())),0,-2), IF(_xlpm.value="","",_xlpm.value))</calculatedColumnFormula>
    </tableColumn>
    <tableColumn id="1" xr3:uid="{7390B9CD-F026-46B6-9CD8-909368AD7934}" name="C:Total Water Added (mL)" dataDxfId="140">
      <calculatedColumnFormula>IF(xxx_JarsPlusPlus_244[[#This Row],[Jar]]="", "", IFERROR(AVERAGEIFS(xxx_JarsPlusPlus_123123[V:Water Added (mL)], xxx_JarsPlusPlus_123123[Jar], xxx_JarsPlusPlus_244[[#This Row],[Jar]]), " "))</calculatedColumnFormula>
    </tableColumn>
    <tableColumn id="2" xr3:uid="{4C433159-6E18-4111-8597-73E7BC558DFB}" name="C:Total Fertilizer Added (g)" dataDxfId="139">
      <calculatedColumnFormula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calculatedColumnFormula>
    </tableColumn>
  </tableColumns>
  <tableStyleInfo name="TableStyleMedium2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60E40AC-59BA-4134-9D36-13FDE6ACAE83}" name="JarsPlusPlus_1" displayName="JarsPlusPlus_1" ref="A10:J89" totalsRowShown="0">
  <autoFilter ref="A10:J89" xr:uid="{060E40AC-59BA-4134-9D36-13FDE6ACAE83}"/>
  <tableColumns count="10">
    <tableColumn id="1" xr3:uid="{3066D79B-0374-43DC-A12F-DD365782390D}" name="Jar"/>
    <tableColumn id="3" xr3:uid="{CC54194E-18B5-42B0-9BA4-B60789BB8D2C}" name="Date Added"/>
    <tableColumn id="9" xr3:uid="{FC4B3116-128F-4EF8-83F7-E640B22C3334}" name="Water Type"/>
    <tableColumn id="24" xr3:uid="{9F858D90-C1A3-426E-BF52-62F4DC380DED}" name="Water Added (mL)"/>
    <tableColumn id="5" xr3:uid="{1F3EA8A2-69A9-4BC5-A263-AB9C74303FAB}" name="V:Water Added (mL)" dataDxfId="136">
      <calculatedColumnFormula>IFERROR(VALUE(JarsPlusPlus_1[[#This Row],[Water Added (mL)]]), 0)</calculatedColumnFormula>
    </tableColumn>
    <tableColumn id="7" xr3:uid="{AEE71EF6-C31C-45D9-AB21-DAEAFF155444}" name="Fertilizer"/>
    <tableColumn id="23" xr3:uid="{C27616EE-9028-42A0-B1DF-29DAF794ACD6}" name="Fertilizer Added (g)"/>
    <tableColumn id="6" xr3:uid="{4992484C-2866-4FEF-A7C3-0C0B03131D5D}" name="V:Fertilizer Added (g)" dataDxfId="135">
      <calculatedColumnFormula>IFERROR(VALUE(JarsPlusPlus_1[[#This Row],[Fertilizer Added (g)]]), 0)</calculatedColumnFormula>
    </tableColumn>
    <tableColumn id="19" xr3:uid="{4ECCFA79-5020-443A-B2C1-D85F374CFCA2}" name="Final pH"/>
    <tableColumn id="18" xr3:uid="{2B2D0F7C-D899-4228-914F-D68443B6A833}" name="Final EC (μS/cm)"/>
  </tableColumns>
  <tableStyleInfo name="TableStyleMedium2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3B6ACAD2-696F-4AD9-A0BA-72F0BBE77D74}" name="JarsPlusPlus_2" displayName="JarsPlusPlus_2" ref="T10:V89" totalsRowShown="0">
  <autoFilter ref="T10:V89" xr:uid="{3B6ACAD2-696F-4AD9-A0BA-72F0BBE77D74}"/>
  <tableColumns count="3">
    <tableColumn id="3" xr3:uid="{C149FD4B-A748-4539-B5BF-499173A08C09}" name="Jar">
      <calculatedColumnFormula array="1">_xlfn.LET(_xlpm.value, OFFSET(INDIRECT(ADDRESS(ROW(),COLUMN())),0,-2), IF(_xlpm.value="","",_xlpm.value))</calculatedColumnFormula>
    </tableColumn>
    <tableColumn id="4" xr3:uid="{04D730D6-45B6-4E70-BDF0-BC29C3F3F470}" name="Fertilizer">
      <calculatedColumnFormula array="1">_xlfn.LET(_xlpm.value, OFFSET(INDIRECT(ADDRESS(ROW(),COLUMN())),0,-2), IF(_xlpm.value="","",_xlpm.value))</calculatedColumnFormula>
    </tableColumn>
    <tableColumn id="2" xr3:uid="{005C9D5B-6F5B-4CBB-8C25-5B311C8EFE90}" name="C:Total Fertilizer Added (g)" dataDxfId="134">
      <calculatedColumnFormula>IF(JarsPlusPlus_2[[#This Row],[Jar]]="", "", IFERROR(SUMIFS(JarsPlusPlus_1[V:Fertilizer Added (g)], JarsPlusPlus_1[Jar], JarsPlusPlus_2[[#This Row],[Jar]], JarsPlusPlus_1[Fertilizer], JarsPlusPlus_2[[#This Row],[Fertilizer]]), " "))</calculatedColumnFormula>
    </tableColumn>
  </tableColumns>
  <tableStyleInfo name="TableStyleMedium2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420790C6-8ED0-441A-A474-4B66401C935E}" name="JarsPlusPlus_4" displayName="JarsPlusPlus_4" ref="N10:P89" totalsRowShown="0">
  <autoFilter ref="N10:P89" xr:uid="{420790C6-8ED0-441A-A474-4B66401C935E}"/>
  <tableColumns count="3">
    <tableColumn id="1" xr3:uid="{DB6F1945-A45F-4DFD-A666-50983692F127}" name="Jar" dataDxfId="133">
      <calculatedColumnFormula array="1">_xlfn.LET(_xlpm.value, OFFSET(INDIRECT(ADDRESS(ROW(), COLUMN())), 0, -2), IF(_xlpm.value="", "", _xlpm.value))</calculatedColumnFormula>
    </tableColumn>
    <tableColumn id="3" xr3:uid="{68623798-0FFB-4B6D-8DB1-115BDB96B61D}" name="Water Type" dataDxfId="132">
      <calculatedColumnFormula array="1">_xlfn.LET(_xlpm.value, OFFSET(INDIRECT(ADDRESS(ROW(), COLUMN())), 0, -2), IF(_xlpm.value="", "", _xlpm.value))</calculatedColumnFormula>
    </tableColumn>
    <tableColumn id="2" xr3:uid="{6E1DDF43-C2FC-4B68-AC3A-1403F3CEA118}" name="C:Total Water Added (mL)" dataDxfId="131">
      <calculatedColumnFormula>IF(JarsPlusPlus_4[[#This Row],[Jar]]="", "", IFERROR(SUMIFS(JarsPlusPlus_1[V:Water Added (mL)], JarsPlusPlus_1[Jar], JarsPlusPlus_4[[#This Row],[Jar]], JarsPlusPlus_1[Water Type], JarsPlusPlus_4[[#This Row],[Water Type]]), " "))</calculatedColumnFormula>
    </tableColumn>
  </tableColumns>
  <tableStyleInfo name="TableStyleMedium2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6160E6A-400D-4411-8038-1441ABBC8218}" name="Cups" displayName="Cups" ref="A10:J66" totalsRowShown="0" headerRowDxfId="128" dataDxfId="127">
  <autoFilter ref="A10:J66" xr:uid="{184D8FC6-22CB-4693-81FF-C1B0418E63E9}"/>
  <tableColumns count="10">
    <tableColumn id="38" xr3:uid="{AC0FF5A8-B5B1-4996-8053-5E384E7680D8}" name="Id" dataDxfId="126"/>
    <tableColumn id="16" xr3:uid="{4A120448-D2BB-4871-8A45-DFC9A37B07EC}" name="Date Made" dataDxfId="125"/>
    <tableColumn id="35" xr3:uid="{327CD5F6-C93A-409B-B1F8-B4E66F1B43DD}" name="Net Cup (in)" dataDxfId="124"/>
    <tableColumn id="6" xr3:uid="{BCD44804-E1D8-491C-8473-DD7719E8FFC0}" name="Autoclaved Cup" dataDxfId="123"/>
    <tableColumn id="13" xr3:uid="{3513F2AE-D8FE-40B8-837E-A7928E51A4D5}" name="Growing Medium" dataDxfId="122"/>
    <tableColumn id="7" xr3:uid="{9B6B0D81-454F-4A24-8211-05D1484AA730}" name="Autoclaved Medium" dataDxfId="121"/>
    <tableColumn id="15" xr3:uid="{35EC13AC-67DA-493A-8463-18AC603D73FA}" name="Date Seeded" dataDxfId="120"/>
    <tableColumn id="9" xr3:uid="{AB758B39-6B7B-4C2D-A695-DF5545F1BA8A}" name="Seed" dataDxfId="119"/>
    <tableColumn id="10" xr3:uid="{319AD9A8-97BC-45B3-A7ED-656C377A7B92}" name="Scarification Procedure" dataDxfId="118"/>
    <tableColumn id="11" xr3:uid="{395CCE9B-AC03-45EF-A6EB-446DEB56CEEA}" name="Notes" dataDxfId="117"/>
  </tableColumns>
  <tableStyleInfo name="TableStyleMedium2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4D8FC6-22CB-4693-81FF-C1B0418E63E9}" name="Growing" displayName="Growing" ref="A10:AB66" totalsRowShown="0" headerRowDxfId="112" dataDxfId="111">
  <autoFilter ref="A10:AB66" xr:uid="{184D8FC6-22CB-4693-81FF-C1B0418E63E9}"/>
  <tableColumns count="28">
    <tableColumn id="38" xr3:uid="{30911066-88B7-4E62-B45B-743CE1586971}" name="Seeding Jar" dataDxfId="110"/>
    <tableColumn id="40" xr3:uid="{E6F1A1FD-28F7-488F-96F9-01B530676882}" name="Growing Jar" dataDxfId="109"/>
    <tableColumn id="6" xr3:uid="{9AEBB6FD-4BCA-4544-9726-F84DA45D18F4}" name="Seed Cup" dataDxfId="108"/>
    <tableColumn id="9" xr3:uid="{771CA64C-18D9-4682-90E0-98989949A3B8}" name="Seed" dataDxfId="107">
      <calculatedColumnFormula array="1">_xlfn.LET(_xlpm.value, _xlfn.XLOOKUP(Growing[[#This Row],[Seed Cup]], Cups[Id], Cups[Seed]), IF(_xlpm.value="", "", _xlpm.value))</calculatedColumnFormula>
    </tableColumn>
    <tableColumn id="7" xr3:uid="{38492EEB-4EEB-488C-94B1-E88F197CFD67}" name="Seed Name" dataDxfId="106">
      <calculatedColumnFormula array="1">_xlfn.LET(_xlpm.value, _xlfn.XLOOKUP(Growing[[#This Row],[Seed]], Seeds[Seed], Seeds[Common Name]), IFERROR(_xlpm.value, ""))</calculatedColumnFormula>
    </tableColumn>
    <tableColumn id="10" xr3:uid="{8ACAD5CF-E697-4CD9-B7C3-40CA3696A024}" name="Growing Jar Name" dataDxfId="105">
      <calculatedColumnFormula>IF(Growing[[#This Row],[Growing Jar]]="None", "None", IF(Growing[[#This Row],[Growing Jar]]="", "", _xlfn.XLOOKUP(Growing[[#This Row],[Growing Jar]],Jars!A:A,Jars!C:C)))</calculatedColumnFormula>
    </tableColumn>
    <tableColumn id="4" xr3:uid="{270A943A-887F-4D82-A899-AF020891D1C6}" name="Status" dataDxfId="104">
      <calculatedColumnFormula array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calculatedColumnFormula>
    </tableColumn>
    <tableColumn id="16" xr3:uid="{8BBE647F-A80F-405A-BBB3-ABB727B6AD4F}" name="Date Seeded" dataDxfId="103">
      <calculatedColumnFormula array="1">_xlfn.LET(_xlpm.value, _xlfn.XLOOKUP(Growing[[#This Row],[Seed Cup]], Cups[Id], Cups[Date Seeded]), IF(_xlpm.value="", "", _xlpm.value))</calculatedColumnFormula>
    </tableColumn>
    <tableColumn id="36" xr3:uid="{D2847216-21BB-4313-AE2B-B3B64301F1D8}" name="Expected Germination (min)" dataDxfId="102">
      <calculatedColumnFormula>IF(Growing[[#This Row],[Date Seeded]]="", "", IF(Growing[[#This Row],[Date Seeded]]="Unknown", "Unknown", TEXT(Growing[[#This Row],[Date Seeded]]+_xlfn.XLOOKUP(Growing[[#This Row],[Seed]],Seeds[Seed],Seeds[Days Until Germination (min)]),"yyyy-MM-dd")))</calculatedColumnFormula>
    </tableColumn>
    <tableColumn id="8" xr3:uid="{F1E6B3BE-16F8-46B1-B47F-E70C1C2C8E57}" name="Expected Germination (max)" dataDxfId="101">
      <calculatedColumnFormula>IF(Growing[[#This Row],[Date Seeded]]="", "", IF(Growing[[#This Row],[Date Seeded]]="Unknown", "Unknown", TEXT(Growing[[#This Row],[Date Seeded]]+_xlfn.XLOOKUP(Growing[[#This Row],[Seed]],Seeds[Seed],Seeds[Days Until Germination (max)]),"yyyy-MM-dd")))</calculatedColumnFormula>
    </tableColumn>
    <tableColumn id="39" xr3:uid="{290DDB16-CEC3-451D-B107-126B6756229F}" name="Actual Germination" dataDxfId="100"/>
    <tableColumn id="2" xr3:uid="{DA83A169-395A-4426-A281-2207716035AB}" name="Transplant Root Length (mm)" dataDxfId="99"/>
    <tableColumn id="1" xr3:uid="{CEE5A2D1-717B-4675-A9E2-C1FE973D9509}" name="Transplant Date" dataDxfId="98"/>
    <tableColumn id="12" xr3:uid="{23460E49-6CAA-4321-9D39-EE5F1090328F}" name="Water Procedure" dataDxfId="97"/>
    <tableColumn id="23" xr3:uid="{558EC0D7-909D-4AF4-BA4D-CB2983BF58B9}" name="Expected Harvest" dataDxfId="96">
      <calculatedColumnFormula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calculatedColumnFormula>
    </tableColumn>
    <tableColumn id="5" xr3:uid="{46970902-321A-4028-BC98-19A905D8C628}" name="Harvests" dataDxfId="95">
      <calculatedColumnFormula>IF(_xlfn.SINGLE(Growing[Growing Jar])="", "", TEXT(COUNTIF(Harvest[Growing Jar], _xlfn.SINGLE(Growing[Growing Jar])), "General"))</calculatedColumnFormula>
    </tableColumn>
    <tableColumn id="18" xr3:uid="{20EF10E8-5CC1-4AAC-9A87-FF790F638A39}" name="Date Terminated" dataDxfId="94"/>
    <tableColumn id="19" xr3:uid="{BCA8402D-9145-4F28-8EE8-F88617C868F5}" name="Stopped Reason" dataDxfId="93"/>
    <tableColumn id="31" xr3:uid="{4796C1C4-77EB-45A7-AA08-5D5D8FF77606}" name="Root Length (mm)" dataDxfId="92"/>
    <tableColumn id="11" xr3:uid="{22EC2D21-7A61-4C9B-B6AA-30CC73C36BC3}" name="Root Width (mm)" dataDxfId="91"/>
    <tableColumn id="26" xr3:uid="{4B593098-69DB-4D0F-BA19-6B6AC01E5362}" name="Root Color" dataDxfId="90"/>
    <tableColumn id="28" xr3:uid="{28564AB6-4207-47E4-896F-29DB3F94CC0E}" name="Root Texture" dataDxfId="89"/>
    <tableColumn id="22" xr3:uid="{88743A3A-7DCA-4016-BFB6-14D370921203}" name="Root Dry Mass (g)" dataDxfId="88"/>
    <tableColumn id="21" xr3:uid="{1F1858D8-F030-4956-A742-20F5F82AA101}" name="Stem Dry Mass (g)" dataDxfId="87"/>
    <tableColumn id="20" xr3:uid="{3082AEAB-59C0-4562-85F5-181F464FA55F}" name="Root-Stem Ratio" dataDxfId="86">
      <calculatedColumnFormula array="1">_xlfn.LET(_xlpm.root_mass, _xlfn.SINGLE(Growing[Root Dry Mass (g)]), IF(_xlpm.root_mass="", "", IF(_xlpm.root_mass="None", "None", IF(_xlpm.root_mass="Unknown", "Unknown", _xlpm.root_mass / _xlfn.SINGLE(Growing[Stem Dry Mass (g)])))))</calculatedColumnFormula>
    </tableColumn>
    <tableColumn id="3" xr3:uid="{89FA8DFE-0486-49D9-BF68-AD95A9D5FF9C}" name="Stem Length (mm)" dataDxfId="85"/>
    <tableColumn id="33" xr3:uid="{49C37517-0F00-4A0D-9E8F-6780C310DE4A}" name="Stem Diameter (mm)" dataDxfId="84"/>
    <tableColumn id="15" xr3:uid="{0172651F-9904-41C8-9A67-2612FD5D7755}" name="Notes" dataDxfId="83"/>
  </tableColumns>
  <tableStyleInfo name="TableStyleMedium2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8127BF25-8DF3-4B6D-A7CE-D3FCE6F22844}" name="GrowingPlusPlus" displayName="GrowingPlusPlus" ref="A10:G19" totalsRowShown="0">
  <autoFilter ref="A10:G19" xr:uid="{8127BF25-8DF3-4B6D-A7CE-D3FCE6F22844}"/>
  <tableColumns count="7">
    <tableColumn id="1" xr3:uid="{610674FE-9E3D-4FA2-8B07-5EBB6179B3EE}" name="Jar"/>
    <tableColumn id="2" xr3:uid="{0AD1FDD2-1122-47E2-B1E2-B68A27B03704}" name="Date Measured"/>
    <tableColumn id="3" xr3:uid="{B1553A92-CBE2-451C-A140-4A8612D3D606}" name="Chlorophyll"/>
    <tableColumn id="7" xr3:uid="{9570578A-9CA2-4B5F-9ECA-2BD2F806391D}" name="Chlorosis?"/>
    <tableColumn id="4" xr3:uid="{99B53A7B-C113-418D-916F-6F401D5F0A96}" name="Disease?"/>
    <tableColumn id="5" xr3:uid="{8DA1BE97-B0C7-4AC5-8DB3-85948CF9FE1F}" name="Treatment"/>
    <tableColumn id="6" xr3:uid="{B7E0A922-A1C7-4C7B-A3B6-F6B6040664B0}" name="Notes"/>
  </tableColumns>
  <tableStyleInfo name="TableStyleMedium2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B7A519-E55D-4934-8B07-F1C8A7A5263E}" name="Harvest" displayName="Harvest" ref="A10:J43" totalsRowShown="0">
  <autoFilter ref="A10:J43" xr:uid="{04B7A519-E55D-4934-8B07-F1C8A7A5263E}"/>
  <tableColumns count="10">
    <tableColumn id="13" xr3:uid="{8DC67C94-F997-4762-B998-AB45650C0B93}" name="Growing Jar"/>
    <tableColumn id="1" xr3:uid="{A7F2DE17-4D27-450F-A163-EF367CB4D684}" name="Storage Id"/>
    <tableColumn id="14" xr3:uid="{51EA4B1A-E553-41CB-ADA5-1052C45DF022}" name="Date Harvested"/>
    <tableColumn id="2" xr3:uid="{617D9269-73D5-4235-93A9-EA00127EA96A}" name="Harvest Method"/>
    <tableColumn id="16" xr3:uid="{6E75AA53-D6C2-40B4-A2C2-50CC53C272A0}" name="Number of Leaves (+)"/>
    <tableColumn id="17" xr3:uid="{30A8C0FB-7496-41BE-8A7C-1EBB890BE05B}" name="Number of Leaves (-)"/>
    <tableColumn id="7" xr3:uid="{58295CB8-3E2E-410D-A53D-C5DE33E9AD09}" name="Harvest Weight (g)"/>
    <tableColumn id="3" xr3:uid="{D6C69C68-7434-449B-9645-7939E476E716}" name="Distributed?"/>
    <tableColumn id="10" xr3:uid="{45690A6D-2A56-4854-8A22-523267D11609}" name="Taste"/>
    <tableColumn id="6" xr3:uid="{2DF5C6EE-34D3-4865-82E4-699B91E1DAF2}" name="Notes"/>
  </tableColumns>
  <tableStyleInfo name="TableStyleMedium2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98E9D64-63F6-4D24-85D2-4CA8AEB314C2}" name="Storage" displayName="Storage" ref="A10:J46" totalsRowShown="0">
  <autoFilter ref="A10:J46" xr:uid="{04B7A519-E55D-4934-8B07-F1C8A7A5263E}"/>
  <tableColumns count="10">
    <tableColumn id="1" xr3:uid="{67F07DEC-6B65-4626-9C39-D7F98F9C9A5B}" name="Id"/>
    <tableColumn id="2" xr3:uid="{F97CBCB0-DBAD-4B4E-A732-E05256FC811E}" name="Date Stored"/>
    <tableColumn id="19" xr3:uid="{0AD2EE53-8438-439E-80B3-DAF27192B5B3}" name="Washing Procedure"/>
    <tableColumn id="18" xr3:uid="{54BDB0FD-0C65-477D-96C1-6D09BE4FDC7D}" name="Drying Procedure"/>
    <tableColumn id="3" xr3:uid="{2459AECB-AFD4-4683-B619-324097E15755}" name="Storage Container"/>
    <tableColumn id="8" xr3:uid="{37B06B3C-1B5F-4383-B3A4-4F995366B0C4}" name="Storage Location"/>
    <tableColumn id="4" xr3:uid="{9ACAC385-1164-43CA-8D23-7AC6231812D0}" name="Date First Wilted"/>
    <tableColumn id="5" xr3:uid="{A380F4E6-ACFC-4A2C-9236-F26BC6207BFE}" name="Date of Spoilage"/>
    <tableColumn id="11" xr3:uid="{8B62A537-1857-45F6-AFEB-533B4E54F6C3}" name="Spoilage Reason"/>
    <tableColumn id="6" xr3:uid="{94641B67-A8EF-4356-B5A3-6DC9D9679302}" name="Notes"/>
  </tableColumns>
  <tableStyleInfo name="TableStyleMedium2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1BE7D8-88CE-4355-87E6-E3305A844B03}" name="Temp" displayName="Temp" ref="A10:I24" totalsRowShown="0" headerRowDxfId="77">
  <autoFilter ref="A10:I24" xr:uid="{A01BE7D8-88CE-4355-87E6-E3305A844B03}"/>
  <tableColumns count="9">
    <tableColumn id="9" xr3:uid="{AA172D5A-FA0C-4AE6-867B-4BA31B78A0B1}" name="Jar" dataDxfId="76"/>
    <tableColumn id="6" xr3:uid="{FC9A1C26-8391-41CF-AABE-CF79E02EFD9E}" name="Jar Exterior" dataDxfId="75">
      <calculatedColumnFormula>IF((A11)="", "", _xlfn.XLOOKUP(A11,Jars!A:A,Jars!K:K))</calculatedColumnFormula>
    </tableColumn>
    <tableColumn id="10" xr3:uid="{01E5CB02-C9D4-4C00-A676-9516A268076F}" name="Jar Shade" dataDxfId="74">
      <calculatedColumnFormula>IF((A11)="", "", _xlfn.XLOOKUP(A11,Jars!A:A,Jars!L:L))</calculatedColumnFormula>
    </tableColumn>
    <tableColumn id="1" xr3:uid="{44A6AB68-FB86-415F-BC6C-09658C03950C}" name="Date" dataDxfId="73"/>
    <tableColumn id="2" xr3:uid="{7A75CDDB-61B6-4659-8091-7755E2495174}" name="Time" dataDxfId="72"/>
    <tableColumn id="3" xr3:uid="{5A4EB787-A366-4F60-A5D8-A4A76D99C125}" name="Temp (°C)" dataDxfId="71"/>
    <tableColumn id="7" xr3:uid="{0B9619E0-0C0E-43A8-A235-916D0D5FB299}" name="Outdoor Temp (°F)" dataDxfId="70"/>
    <tableColumn id="8" xr3:uid="{EE2F538B-278B-4C2D-8841-DB19E6621F2E}" name="Outdoor Weather" dataDxfId="69"/>
    <tableColumn id="11" xr3:uid="{DEBBD0F2-370F-4B88-8AEB-F9FFCEFD58FE}" name="Notes" dataDxfId="68"/>
  </tableColumns>
  <tableStyleInfo name="TableStyleMedium2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CF570E33-BBC9-4CDB-9534-E8E54A613F32}" name="Recipe_Calc52" displayName="Recipe_Calc52" ref="A24:Y33" totalsRowShown="0" headerRowDxfId="66" dataDxfId="65">
  <autoFilter ref="A24:Y33" xr:uid="{CF560238-6D75-4D9F-9084-7BF98B5AA933}"/>
  <tableColumns count="25">
    <tableColumn id="1" xr3:uid="{E2AD2BFF-4C83-4448-9963-B7FB30AC8BE5}" name="Nutrient Concentration (ppm)" dataDxfId="64"/>
    <tableColumn id="2" xr3:uid="{B88BF9E8-2496-4648-9578-85F4A0ADBD6E}" name="Total N" dataDxfId="63"/>
    <tableColumn id="3" xr3:uid="{8F888A2C-DBD2-4EBB-90EB-76DED7FA531D}" name="Urea" dataDxfId="62"/>
    <tableColumn id="4" xr3:uid="{429DCC8A-2BA9-430B-90B4-DA591CE203AB}" name="Ammonium-N" dataDxfId="61"/>
    <tableColumn id="5" xr3:uid="{FF9671C6-4758-4876-AB60-72B479E9F7BD}" name="Nitrate-N" dataDxfId="60"/>
    <tableColumn id="6" xr3:uid="{3A329B08-E632-4933-BA8E-B7BD3A849D2F}" name="P" dataDxfId="59"/>
    <tableColumn id="7" xr3:uid="{A7E4DD29-2AB6-446E-9664-C82E101E3653}" name="K" dataDxfId="58"/>
    <tableColumn id="8" xr3:uid="{1B0E2054-9AEB-4FD2-9980-A9FEBC0F6DCE}" name="Ca" dataDxfId="57"/>
    <tableColumn id="9" xr3:uid="{B3943A62-8FE3-48E0-B542-EA8D15F42814}" name="Mg" dataDxfId="56"/>
    <tableColumn id="10" xr3:uid="{CCCA7ECF-C2EB-4EF5-8623-CAE030594BBE}" name="S" dataDxfId="55"/>
    <tableColumn id="11" xr3:uid="{6730E931-FCC6-4946-AFA9-62B784505397}" name="B" dataDxfId="54"/>
    <tableColumn id="12" xr3:uid="{0C515F52-8E72-4636-81FF-C2F7912B1C8F}" name="Cu" dataDxfId="53"/>
    <tableColumn id="13" xr3:uid="{DBD9FD5B-278C-4616-8C97-68615522035B}" name="Fe" dataDxfId="52"/>
    <tableColumn id="14" xr3:uid="{2CC6BF5F-16E0-42A6-8472-EF022C13BB18}" name="Mn" dataDxfId="51"/>
    <tableColumn id="15" xr3:uid="{D106C914-8152-4554-A441-FEAB68127EE4}" name="Mo" dataDxfId="50"/>
    <tableColumn id="16" xr3:uid="{C5BCED18-FE61-4C94-ACD9-E9D0F5982ABC}" name="Zn" dataDxfId="49"/>
    <tableColumn id="18" xr3:uid="{B445F426-B009-438C-A099-98E3CCF6B89B}" name="Ni" dataDxfId="48">
      <calculatedColumnFormula>IF(Recipes_Crop55[Crop]="","",IFERROR(AVERAGEIFS(#REF!,Adjustments[For],Recipes_Crop55[Crop]),""))</calculatedColumnFormula>
    </tableColumn>
    <tableColumn id="19" xr3:uid="{01D5A33D-7156-4358-B48C-ECC2074D0C74}" name="Cl" dataDxfId="47"/>
    <tableColumn id="20" xr3:uid="{6E093438-55BF-4F37-8C3E-289B0C931A55}" name="Na" dataDxfId="46"/>
    <tableColumn id="21" xr3:uid="{68F3EE1A-46A8-4CFA-A9A8-B482741D1EF5}" name="Si" dataDxfId="45"/>
    <tableColumn id="22" xr3:uid="{C592F8D6-49DF-449E-B9A6-CC6A01E1E7DA}" name="Co" dataDxfId="44"/>
    <tableColumn id="23" xr3:uid="{D3E9C792-4722-4A7A-B08E-EAACF9230AA6}" name="I" dataDxfId="43"/>
    <tableColumn id="24" xr3:uid="{DA3607E6-F3F8-48F6-A119-877A4A71DFAF}" name="Se" dataDxfId="42"/>
    <tableColumn id="25" xr3:uid="{B3C3722B-13B6-47F3-B63C-F0932D45D47F}" name="Al" dataDxfId="41"/>
    <tableColumn id="17" xr3:uid="{AB3DFE88-0884-42A6-B756-6778046E8B29}" name="K/N" dataDxfId="40"/>
  </tableColumns>
  <tableStyleInfo name="TableStyleMedium2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AAE40B12-C77A-4168-84F8-49A0D3D23CC5}" name="Recipe_Input54" displayName="Recipe_Input54" ref="A15:C20" totalsRowShown="0" headerRowDxfId="39" dataDxfId="38">
  <autoFilter ref="A15:C20" xr:uid="{DF9CB6DF-A5F3-4059-8B33-A7C394341BC2}"/>
  <tableColumns count="3">
    <tableColumn id="1" xr3:uid="{A57C174A-6656-478A-A4B7-AB5A8CA97279}" name="Fertilizer" dataDxfId="37">
      <calculatedColumnFormula array="1">IF(Recipes_Crop55[Jar]="","",_xlfn.XLOOKUP(1,((JarsPlusPlus_2[Jar]&amp;"")=(Recipes_Crop55[Jar]&amp;""))*(JarsPlusPlus_2[Fertilizer]&lt;&gt;"")*(JarsPlusPlus_2[Fertilizer]&lt;&gt;"None")*ISNA(MATCH(JarsPlusPlus_2[Fertilizer],A$15:A15,0)),JarsPlusPlus_2[Fertilizer],""))</calculatedColumnFormula>
    </tableColumn>
    <tableColumn id="9" xr3:uid="{3B53BA95-EF40-4657-BAAF-62404527D216}" name="Amount (g)" dataDxfId="36">
      <calculatedColumnFormula array="1">IF(Recipe_Input54[[#This Row],[Fertilizer]]="","",SUMPRODUCT(--((JarsPlusPlus_2[Jar]&amp;"")=(Recipes_Crop55[Jar]&amp;"")),--(JarsPlusPlus_2[Fertilizer]=Recipe_Input54[[#This Row],[Fertilizer]]),JarsPlusPlus_2[C:Total Fertilizer Added (g)]))</calculatedColumnFormula>
    </tableColumn>
    <tableColumn id="10" xr3:uid="{EF5663FF-1C71-49F3-AC76-3EE0E6E2E0B9}" name="Fertilizer (g/L)" dataDxfId="35">
      <calculatedColumnFormula>IF(Recipe_Input54[[#This Row],[Amount (g)]]="","",IFERROR(IF(Recipe_Input54[[#This Row],[Amount (g)]]=0,0,_xlfn.LET(_xlpm.x,Recipe_Input54[[#This Row],[Amount (g)]]/Recipes_Crop55[Volume (L)],ROUND(_xlpm.x,3-INT(LOG10(ABS(_xlpm.x)))))),""))</calculatedColumnFormula>
    </tableColumn>
  </tableColumns>
  <tableStyleInfo name="TableStyleMedium2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4E172742-19C6-4AAF-88B5-891F8905DE8A}" name="Recipes_Crop55" displayName="Recipes_Crop55" ref="A10:H11" totalsRowShown="0" headerRowDxfId="34" dataDxfId="33">
  <autoFilter ref="A10:H11" xr:uid="{1C9DC878-1A81-4996-AEA2-D20229007E73}"/>
  <tableColumns count="8">
    <tableColumn id="6" xr3:uid="{E0A832D0-5B0F-4AD3-ABC1-0D611E04C252}" name="Jar" dataDxfId="32"/>
    <tableColumn id="1" xr3:uid="{05100D4E-FA82-4CA7-89E8-6DF677ED0E93}" name="Crop" dataDxfId="31">
      <calculatedColumnFormula>IF(Recipes_Crop55[[#This Row],[Jar]]="","",IFERROR(_xlfn.XLOOKUP(IFERROR(_xlfn.XLOOKUP(Recipes_Crop55[[#This Row],[Jar]]&amp;"",Growing[Growing Jar],Growing[Seed],,0,-1),_xlfn.XLOOKUP(Recipes_Crop55[[#This Row],[Jar]]&amp;"",Growing[Seeding Jar],Growing[Seed],,0,-1)),Seeds[Seed],Seeds[Scientific Name]),""))</calculatedColumnFormula>
    </tableColumn>
    <tableColumn id="3" xr3:uid="{7BD86EF6-B69A-47F7-9198-2A7121F8BBF9}" name="Volume (mL)" dataDxfId="30">
      <calculatedColumnFormula array="1">IF(Recipes_Crop55[[#This Row],[Jar]]="","",SUMPRODUCT(--(JarsPlusPlus_1[Jar]&amp;""=Recipes_Crop55[[#This Row],[Jar]]&amp;""),JarsPlusPlus_1[V:Water Added (mL)]))</calculatedColumnFormula>
    </tableColumn>
    <tableColumn id="2" xr3:uid="{04A8CA02-0605-4C27-A634-37AFDA4339FE}" name="Volume (L)" dataDxfId="29">
      <calculatedColumnFormula>Recipes_Crop55[Volume (mL)] / 1000</calculatedColumnFormula>
    </tableColumn>
    <tableColumn id="8" xr3:uid="{AFE61590-C939-4554-B05D-A50C367A9668}" name="pH (min)" dataDxfId="28">
      <calculatedColumnFormula>IF(Recipes_Crop55[[#This Row],[Crop]]="","",_xlfn.LET(_xlpm.x,_xlfn.XLOOKUP(Recipes_Crop55[[#This Row],[Crop]],Nutrients[For],Nutrients[pH (min)],""),IF(ISNUMBER(_xlpm.x),_xlpm.x,"")))</calculatedColumnFormula>
    </tableColumn>
    <tableColumn id="7" xr3:uid="{8C1C3E35-842A-44C9-8D73-96B368379223}" name="pH (max)" dataDxfId="27">
      <calculatedColumnFormula>IF(Recipes_Crop55[[#This Row],[Crop]]="","",_xlfn.LET(_xlpm.x,_xlfn.XLOOKUP(Recipes_Crop55[[#This Row],[Crop]],Nutrients[For],Nutrients[pH (max)],""),IF(ISNUMBER(_xlpm.x),_xlpm.x,"")))</calculatedColumnFormula>
    </tableColumn>
    <tableColumn id="4" xr3:uid="{01DC5797-B1EB-4067-AC8C-0C40E3538FA1}" name="EC (min)" dataDxfId="26">
      <calculatedColumnFormula>IF(Recipes_Crop55[[#This Row],[Crop]]="","",_xlfn.LET(_xlpm.x,_xlfn.XLOOKUP(Recipes_Crop55[[#This Row],[Crop]],Nutrients[For],Nutrients[EC (min)],""),IF(ISNUMBER(_xlpm.x),_xlpm.x,"")))</calculatedColumnFormula>
    </tableColumn>
    <tableColumn id="5" xr3:uid="{5E834BDE-3A14-441D-BA6E-61C2F8F0423C}" name="EC (max)" dataDxfId="25">
      <calculatedColumnFormula>IF(Recipes_Crop55[[#This Row],[Crop]]="","",_xlfn.LET(_xlpm.x,_xlfn.XLOOKUP(Recipes_Crop55[[#This Row],[Crop]],Nutrients[For],Nutrients[EC (max)],""),IF(ISNUMBER(_xlpm.x),_xlpm.x,"")))</calculatedColumnFormula>
    </tableColumn>
  </tableColumns>
  <tableStyleInfo name="TableStyleMedium2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4A0AFA-6C17-4E97-A28F-DA062CD9486D}" name="vRG_1" displayName="vRG_1" ref="A10:I66" totalsRowShown="0">
  <autoFilter ref="A10:I66" xr:uid="{784A0AFA-6C17-4E97-A28F-DA062CD9486D}"/>
  <tableColumns count="9">
    <tableColumn id="1" xr3:uid="{5E64AB4B-85DE-426E-9DFD-B5E2A3DD4B93}" name="Seeding Jar" dataDxfId="24">
      <calculatedColumnFormula array="1">_xlfn.LET(
    _xlpm.value, INDEX(Growing[Seeding Jar], ROW()-ROW(Growing[#Headers])),
    IF(_xlpm.value="", "", _xlpm.value)
)</calculatedColumnFormula>
    </tableColumn>
    <tableColumn id="8" xr3:uid="{950DBAC1-2A7F-4D0C-8F05-54E37AD8D587}" name="Fertilizer Added (g)" dataDxfId="23">
      <calculatedColumnFormula>IF(vRG_1[[#This Row],[Seeding Jar]]="", "", VALUE( _xlfn.XLOOKUP(SUBSTITUTE(vRG_1[[#This Row],[Seeding Jar]], "*", ""), Jars[Jar],#REF!)))</calculatedColumnFormula>
    </tableColumn>
    <tableColumn id="2" xr3:uid="{F04A8A6D-0A9E-49B2-B217-9338E7C610BF}" name="Seed" dataDxfId="22">
      <calculatedColumnFormula>TRIM(Growing[[#This Row],[Seed]])</calculatedColumnFormula>
    </tableColumn>
    <tableColumn id="3" xr3:uid="{3EBD0B73-B3EF-4FAA-B3D4-E6D697DBD69C}" name="Date Seeded" dataDxfId="21">
      <calculatedColumnFormula>IF(Growing[[#This Row],[Date Seeded]]="", "", TEXT(Growing[[#This Row],[Date Seeded]], "YYYY-MM-dd"))</calculatedColumnFormula>
    </tableColumn>
    <tableColumn id="4" xr3:uid="{32A89140-B98E-401D-88D8-61470F5C9FA4}" name="Transplant Date" dataDxfId="20">
      <calculatedColumnFormula>IF(Growing[[#This Row],[Transplant Date]]="", "", TEXT(Growing[[#This Row],[Transplant Date]], "YYYY-MM-dd"))</calculatedColumnFormula>
    </tableColumn>
    <tableColumn id="5" xr3:uid="{666B5737-92EC-4B85-9CEB-3D07671BC0CF}" name="Transplant Root Length (mm)" dataDxfId="19">
      <calculatedColumnFormula>IF(Growing[[#This Row],[Transplant Root Length (mm)]]="", "", IFERROR(VALUE(Growing[[#This Row],[Transplant Root Length (mm)]]), ""))</calculatedColumnFormula>
    </tableColumn>
    <tableColumn id="6" xr3:uid="{867553EF-0023-4254-BECA-988FE35E6693}" name="Days Between" dataDxfId="18">
      <calculatedColumnFormula>IFERROR(VALUE(DATEVALUE(vRG_1[[#This Row],[Transplant Date]])-DATEVALUE(vRG_1[[#This Row],[Date Seeded]])), "")</calculatedColumnFormula>
    </tableColumn>
    <tableColumn id="7" xr3:uid="{BCC02A0F-6156-40BE-B64D-C4AB719E19FD}" name="Root Length per Day (mm/day)" dataDxfId="17">
      <calculatedColumnFormula>IFERROR(ROUND(vRG_1[[#This Row],[Transplant Root Length (mm)]]/vRG_1[[#This Row],[Days Between]], 2), "")</calculatedColumnFormula>
    </tableColumn>
    <tableColumn id="9" xr3:uid="{82297F07-5024-4DF2-9CD1-D56B4B7D91C6}" name="Include" dataDxfId="16">
      <calculatedColumnFormula>IF(AND(ISNUMBER(vRG_1[[#This Row],[Transplant Root Length (mm)]]),ISNUMBER(vRG_1[[#This Row],[Days Between]]),vRG_1[[#This Row],[Days Between]]&gt;0,ISNUMBER(vRG_1[[#This Row],[Fertilizer Added (g)]])), 1, 0)</calculatedColumnFormula>
    </tableColumn>
  </tableColumns>
  <tableStyleInfo name="TableStyleMedium28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43B693C-02E5-4BD1-98FD-9DC59FCFAC81}" name="vRG_2" displayName="vRG_2" ref="M10:O36" totalsRowShown="0">
  <autoFilter ref="M10:O36" xr:uid="{943B693C-02E5-4BD1-98FD-9DC59FCFAC81}"/>
  <tableColumns count="3">
    <tableColumn id="1" xr3:uid="{D034CAD2-EED6-480D-A5F4-E9155E028A5C}" name="Seed" dataDxfId="15">
      <calculatedColumnFormula array="1">_xlfn.LET(_xlpm.value, OFFSET(INDIRECT(ADDRESS(ROW(),COLUMN())),0,-2), IF(_xlpm.value="","",_xlpm.value))</calculatedColumnFormula>
    </tableColumn>
    <tableColumn id="2" xr3:uid="{4AEBB588-9548-45F3-AF04-901C5CFFD9DD}" name="Fertilizer Added (g)" dataDxfId="14">
      <calculatedColumnFormula array="1">_xlfn.LET(_xlpm.value, OFFSET(INDIRECT(ADDRESS(ROW(),COLUMN())),0,-2), IF(_xlpm.value="","",_xlpm.value))</calculatedColumnFormula>
    </tableColumn>
    <tableColumn id="4" xr3:uid="{DDE3498E-B76B-4D34-96EE-0C85906B6CE7}" name="Average Transplant Root Length (mm) / Day" dataDxfId="13">
      <calculatedColumnFormula>IFERROR(ROUND(AVERAGEIFS(vRG_1[Root Length per Day (mm/day)],vRG_1[Seed],vRG_2[[#This Row],[Seed]], vRG_1[Fertilizer Added (g)], vRG_2[[#This Row],[Fertilizer Added (g)]]), 2), "")</calculatedColumnFormula>
    </tableColumn>
  </tableColumns>
  <tableStyleInfo name="TableStyleMedium2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5E34633-118F-4735-95D1-7E0B127AF0BF}" name="vLS_1" displayName="vLS_1" ref="A10:J66" totalsRowShown="0">
  <autoFilter ref="A10:J66" xr:uid="{784A0AFA-6C17-4E97-A28F-DA062CD9486D}"/>
  <tableColumns count="10">
    <tableColumn id="1" xr3:uid="{6578DAF4-5852-4296-940C-0127920C4920}" name="Seeding Jar" dataDxfId="12">
      <calculatedColumnFormula array="1">_xlfn.LET(
    _xlpm.value, INDEX(Growing[Seeding Jar], ROW()-ROW(Growing[#Headers])),
    IF(_xlpm.value="", "", _xlpm.value)
)</calculatedColumnFormula>
    </tableColumn>
    <tableColumn id="8" xr3:uid="{2536C393-84A3-4F6E-8A58-49D178CF859D}" name="Fertilizer Added (g)" dataDxfId="11">
      <calculatedColumnFormula>IF(vLS_1[[#This Row],[Seeding Jar]]="", "", VALUE( _xlfn.XLOOKUP(SUBSTITUTE(vLS_1[[#This Row],[Seeding Jar]], "*", ""), Jars[Jar],#REF!)))</calculatedColumnFormula>
    </tableColumn>
    <tableColumn id="2" xr3:uid="{E75872E1-185D-46F0-8C15-A2EFA23D20A8}" name="Seed" dataDxfId="10">
      <calculatedColumnFormula>TRIM(Growing[[#This Row],[Seed]])</calculatedColumnFormula>
    </tableColumn>
    <tableColumn id="3" xr3:uid="{5CF27226-4794-4477-A872-EA11972FBD57}" name="Date Seeded" dataDxfId="9">
      <calculatedColumnFormula>IF(Growing[[#This Row],[Date Seeded]]="", "", TEXT(Growing[[#This Row],[Date Seeded]], "YYYY-MM-dd"))</calculatedColumnFormula>
    </tableColumn>
    <tableColumn id="4" xr3:uid="{EF2FC6DF-24CA-4267-89C2-5EBCCE8E8C2F}" name="Transplant Date" dataDxfId="8">
      <calculatedColumnFormula>IF(Growing[[#This Row],[Transplant Date]]="", "", TEXT(Growing[[#This Row],[Transplant Date]], "YYYY-MM-dd"))</calculatedColumnFormula>
    </tableColumn>
    <tableColumn id="10" xr3:uid="{E2B8026F-0F31-4EE5-9173-51991423A9F8}" name="Date Terminated" dataDxfId="7">
      <calculatedColumnFormula>IF(Growing[[#This Row],[Date Terminated]]="", "", TEXT(Growing[[#This Row],[Date Terminated]], "YYYY-MM-dd"))</calculatedColumnFormula>
    </tableColumn>
    <tableColumn id="5" xr3:uid="{1ED4959C-8FD1-467B-9F8D-B58806A187BF}" name="Final Root Length (mm)" dataDxfId="6">
      <calculatedColumnFormula>IF(Growing[[#This Row],[Root Length (mm)]]="", "", IFERROR(VALUE(Growing[[#This Row],[Root Length (mm)]]), ""))</calculatedColumnFormula>
    </tableColumn>
    <tableColumn id="6" xr3:uid="{12C3098C-D096-49C6-92B3-EF13BCBF3D2D}" name="Days Between" dataDxfId="5">
      <calculatedColumnFormula>IFERROR(VALUE(DATEVALUE(vLS_1[[#This Row],[Date Terminated]])-DATEVALUE(vLS_1[[#This Row],[Transplant Date]])), "")</calculatedColumnFormula>
    </tableColumn>
    <tableColumn id="7" xr3:uid="{5B4D0455-D15A-4B27-8947-89B88692F76C}" name="Root Length per Day (mm/day)" dataDxfId="4">
      <calculatedColumnFormula>IFERROR(ROUND(vLS_1[[#This Row],[Final Root Length (mm)]]/vLS_1[[#This Row],[Days Between]], 2), "")</calculatedColumnFormula>
    </tableColumn>
    <tableColumn id="9" xr3:uid="{63D84556-9C0A-4CB0-8182-E29D68C0CCA6}" name="Include" dataDxfId="3">
      <calculatedColumnFormula>IF(AND(ISNUMBER(vLS_1[[#This Row],[Final Root Length (mm)]]),ISNUMBER(vLS_1[[#This Row],[Days Between]]),vLS_1[[#This Row],[Days Between]]&gt;0,ISNUMBER(vLS_1[[#This Row],[Fertilizer Added (g)]])), 1, 0)</calculatedColumnFormula>
    </tableColumn>
  </tableColumns>
  <tableStyleInfo name="TableStyleMedium28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59D165D-CCC6-43D3-9555-9A06118079A8}" name="vLS_2" displayName="vLS_2" ref="N10:P36" totalsRowShown="0">
  <autoFilter ref="N10:P36" xr:uid="{943B693C-02E5-4BD1-98FD-9DC59FCFAC81}"/>
  <tableColumns count="3">
    <tableColumn id="1" xr3:uid="{E9A28B57-2C95-4029-A0DB-8C9AC3BBFF70}" name="Seed" dataDxfId="2">
      <calculatedColumnFormula array="1">_xlfn.LET(_xlpm.value, OFFSET(INDIRECT(ADDRESS(ROW(),COLUMN())),0,-2), IF(_xlpm.value="","",_xlpm.value))</calculatedColumnFormula>
    </tableColumn>
    <tableColumn id="2" xr3:uid="{108F46A3-3D42-403F-BC29-4E8300DA7897}" name="Fertilizer Added (g)" dataDxfId="1">
      <calculatedColumnFormula array="1">_xlfn.LET(_xlpm.value, OFFSET(INDIRECT(ADDRESS(ROW(),COLUMN())),0,-2), IF(_xlpm.value="","",_xlpm.value))</calculatedColumnFormula>
    </tableColumn>
    <tableColumn id="4" xr3:uid="{A4DA92F1-1DC1-40CB-AF14-87AEF9D4C377}" name="Average Transplant Root Length (mm) / Day" dataDxfId="0">
      <calculatedColumnFormula>IFERROR(ROUND(AVERAGEIFS(vLS_1[Root Length per Day (mm/day)],vLS_1[Seed],vLS_2[[#This Row],[Seed]], vLS_1[Fertilizer Added (g)], vLS_2[[#This Row],[Fertilizer Added (g)]]), 2), "")</calculatedColumnFormula>
    </tableColumn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johnnyseeds.com/vegetables/lettuce/salanova-lettuce/salanova-premier-collection-pelleted-lettuce-seed-3073JP.html" TargetMode="External"/><Relationship Id="rId2" Type="http://schemas.openxmlformats.org/officeDocument/2006/relationships/hyperlink" Target="https://www.johnnyseeds.com/vegetables/lettuce/salanova-lettuce/salanova-premier-collection-pelleted-lettuce-seed-3073JP.html" TargetMode="External"/><Relationship Id="rId1" Type="http://schemas.openxmlformats.org/officeDocument/2006/relationships/hyperlink" Target="https://www.johnnyseeds.com/herbs/basil/italian-large-leaf-basil/nufar-organic-pelleted-basil-seed-2178GP.html" TargetMode="External"/><Relationship Id="rId6" Type="http://schemas.openxmlformats.org/officeDocument/2006/relationships/table" Target="../tables/table13.xml"/><Relationship Id="rId5" Type="http://schemas.openxmlformats.org/officeDocument/2006/relationships/hyperlink" Target="https://www.johnnyseeds.com/vegetables/lettuce/salanova-lettuce/salanova-premier-collection-pelleted-lettuce-seed-3073JP.html" TargetMode="External"/><Relationship Id="rId4" Type="http://schemas.openxmlformats.org/officeDocument/2006/relationships/hyperlink" Target="https://www.johnnyseeds.com/vegetables/lettuce/salanova-lettuce/salanova-premier-collection-pelleted-lettuce-seed-3073JP.html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table" Target="../tables/table36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1A59-0438-4CB0-9E25-CD6FE875D79B}">
  <dimension ref="A10:H35"/>
  <sheetViews>
    <sheetView topLeftCell="D7" workbookViewId="0">
      <selection activeCell="E13" sqref="E13"/>
    </sheetView>
  </sheetViews>
  <sheetFormatPr defaultRowHeight="15"/>
  <cols>
    <col min="1" max="4" width="12" customWidth="1"/>
    <col min="5" max="5" width="20.42578125" customWidth="1"/>
    <col min="6" max="6" width="11.42578125" customWidth="1"/>
    <col min="7" max="7" width="14.28515625" customWidth="1"/>
    <col min="8" max="8" width="15.28515625" customWidth="1"/>
  </cols>
  <sheetData>
    <row r="10" spans="1: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</row>
    <row r="11" spans="1:8">
      <c r="A11" s="3" t="s">
        <v>8</v>
      </c>
      <c r="B11" s="3" t="s">
        <v>9</v>
      </c>
      <c r="C11" s="3" t="s">
        <v>10</v>
      </c>
      <c r="D11" s="17" t="s">
        <v>11</v>
      </c>
      <c r="E11" s="20" t="s">
        <v>12</v>
      </c>
      <c r="F11" s="20" t="s">
        <v>13</v>
      </c>
      <c r="G11" s="17" t="s">
        <v>14</v>
      </c>
      <c r="H11" s="20" t="s">
        <v>14</v>
      </c>
    </row>
    <row r="12" spans="1:8">
      <c r="A12" s="3" t="s">
        <v>15</v>
      </c>
      <c r="B12" s="3" t="s">
        <v>16</v>
      </c>
      <c r="C12" s="3" t="s">
        <v>17</v>
      </c>
      <c r="D12" s="17" t="s">
        <v>18</v>
      </c>
      <c r="E12" s="3" t="s">
        <v>19</v>
      </c>
      <c r="F12" s="3" t="s">
        <v>20</v>
      </c>
      <c r="G12" s="17" t="s">
        <v>21</v>
      </c>
      <c r="H12" s="17" t="s">
        <v>22</v>
      </c>
    </row>
    <row r="13" spans="1:8">
      <c r="A13" s="3" t="s">
        <v>23</v>
      </c>
      <c r="B13" s="3" t="s">
        <v>24</v>
      </c>
      <c r="C13" s="3" t="s">
        <v>25</v>
      </c>
      <c r="D13" s="17" t="s">
        <v>26</v>
      </c>
      <c r="E13" s="17"/>
      <c r="F13" s="17" t="s">
        <v>27</v>
      </c>
      <c r="G13" s="17" t="s">
        <v>28</v>
      </c>
      <c r="H13" s="17" t="s">
        <v>29</v>
      </c>
    </row>
    <row r="14" spans="1:8">
      <c r="A14" s="3" t="s">
        <v>30</v>
      </c>
      <c r="B14" s="3" t="s">
        <v>31</v>
      </c>
      <c r="C14" s="3" t="s">
        <v>32</v>
      </c>
      <c r="D14" s="17" t="s">
        <v>33</v>
      </c>
      <c r="E14" s="20"/>
      <c r="F14" s="20" t="s">
        <v>34</v>
      </c>
      <c r="G14" s="17" t="s">
        <v>35</v>
      </c>
      <c r="H14" s="20" t="s">
        <v>36</v>
      </c>
    </row>
    <row r="15" spans="1:8">
      <c r="A15" t="s">
        <v>11</v>
      </c>
      <c r="B15" t="s">
        <v>37</v>
      </c>
      <c r="C15" t="s">
        <v>38</v>
      </c>
      <c r="D15" s="17" t="s">
        <v>39</v>
      </c>
      <c r="E15" s="20"/>
      <c r="F15" s="20" t="s">
        <v>40</v>
      </c>
      <c r="G15" s="17" t="s">
        <v>41</v>
      </c>
      <c r="H15" s="20" t="s">
        <v>42</v>
      </c>
    </row>
    <row r="16" spans="1:8">
      <c r="A16" t="s">
        <v>18</v>
      </c>
      <c r="B16" t="s">
        <v>43</v>
      </c>
      <c r="C16" t="s">
        <v>44</v>
      </c>
      <c r="D16" s="17" t="s">
        <v>45</v>
      </c>
      <c r="E16" s="17"/>
      <c r="F16" s="17"/>
      <c r="G16" s="17" t="s">
        <v>46</v>
      </c>
      <c r="H16" s="17"/>
    </row>
    <row r="17" spans="1:8">
      <c r="A17" t="s">
        <v>26</v>
      </c>
      <c r="B17" t="s">
        <v>47</v>
      </c>
      <c r="C17" t="s">
        <v>48</v>
      </c>
      <c r="D17" s="17" t="s">
        <v>49</v>
      </c>
      <c r="E17" s="20"/>
      <c r="F17" s="20"/>
      <c r="G17" s="17" t="s">
        <v>50</v>
      </c>
      <c r="H17" s="20"/>
    </row>
    <row r="18" spans="1:8">
      <c r="A18" t="s">
        <v>33</v>
      </c>
      <c r="B18" t="s">
        <v>51</v>
      </c>
      <c r="C18" t="s">
        <v>52</v>
      </c>
      <c r="D18" s="17" t="s">
        <v>53</v>
      </c>
      <c r="E18" s="17"/>
      <c r="F18" s="17"/>
      <c r="G18" s="20" t="s">
        <v>54</v>
      </c>
      <c r="H18" s="17"/>
    </row>
    <row r="19" spans="1:8">
      <c r="A19" t="s">
        <v>39</v>
      </c>
      <c r="B19" t="s">
        <v>55</v>
      </c>
      <c r="C19" t="s">
        <v>56</v>
      </c>
      <c r="D19" s="17" t="s">
        <v>57</v>
      </c>
      <c r="E19" s="17"/>
      <c r="F19" s="17"/>
      <c r="G19" s="17"/>
      <c r="H19" s="17"/>
    </row>
    <row r="20" spans="1:8">
      <c r="A20" t="s">
        <v>45</v>
      </c>
      <c r="B20" t="s">
        <v>58</v>
      </c>
      <c r="C20" t="s">
        <v>59</v>
      </c>
      <c r="D20" s="17" t="s">
        <v>60</v>
      </c>
      <c r="E20" s="17"/>
      <c r="F20" s="17"/>
      <c r="G20" s="17"/>
      <c r="H20" s="17"/>
    </row>
    <row r="21" spans="1:8">
      <c r="A21" t="s">
        <v>49</v>
      </c>
      <c r="B21" t="s">
        <v>61</v>
      </c>
      <c r="C21" t="s">
        <v>62</v>
      </c>
      <c r="D21" s="17" t="s">
        <v>63</v>
      </c>
      <c r="E21" s="17"/>
      <c r="F21" s="17"/>
      <c r="G21" s="17"/>
      <c r="H21" s="17"/>
    </row>
    <row r="22" spans="1:8">
      <c r="A22" t="s">
        <v>53</v>
      </c>
      <c r="B22" t="s">
        <v>64</v>
      </c>
      <c r="C22" t="s">
        <v>65</v>
      </c>
      <c r="D22" s="17" t="s">
        <v>66</v>
      </c>
      <c r="E22" s="17"/>
      <c r="F22" s="17"/>
      <c r="G22" s="17"/>
      <c r="H22" s="17"/>
    </row>
    <row r="23" spans="1:8">
      <c r="A23" t="s">
        <v>57</v>
      </c>
      <c r="B23" t="s">
        <v>67</v>
      </c>
      <c r="C23" t="s">
        <v>68</v>
      </c>
      <c r="D23" s="17" t="s">
        <v>69</v>
      </c>
      <c r="E23" s="17"/>
      <c r="F23" s="17"/>
      <c r="G23" s="17"/>
      <c r="H23" s="17"/>
    </row>
    <row r="24" spans="1:8">
      <c r="A24" s="3" t="s">
        <v>60</v>
      </c>
      <c r="B24" s="3" t="s">
        <v>70</v>
      </c>
      <c r="C24" s="3" t="s">
        <v>71</v>
      </c>
      <c r="D24" s="20" t="s">
        <v>72</v>
      </c>
      <c r="E24" s="17"/>
      <c r="F24" s="17"/>
      <c r="G24" s="17"/>
      <c r="H24" s="17"/>
    </row>
    <row r="25" spans="1:8">
      <c r="A25" s="3" t="s">
        <v>63</v>
      </c>
      <c r="B25" s="3" t="s">
        <v>73</v>
      </c>
      <c r="C25" s="3" t="s">
        <v>74</v>
      </c>
      <c r="D25" s="20" t="s">
        <v>75</v>
      </c>
      <c r="E25" s="17"/>
      <c r="F25" s="17"/>
      <c r="G25" s="17"/>
      <c r="H25" s="17"/>
    </row>
    <row r="26" spans="1:8">
      <c r="A26" s="3" t="s">
        <v>66</v>
      </c>
      <c r="B26" s="3" t="s">
        <v>76</v>
      </c>
      <c r="C26" s="3" t="s">
        <v>77</v>
      </c>
      <c r="D26" s="20" t="s">
        <v>78</v>
      </c>
      <c r="E26" s="17"/>
      <c r="F26" s="17"/>
      <c r="G26" s="17"/>
      <c r="H26" s="17"/>
    </row>
    <row r="27" spans="1:8">
      <c r="A27" s="3" t="s">
        <v>69</v>
      </c>
      <c r="B27" s="3" t="s">
        <v>79</v>
      </c>
      <c r="C27" s="3" t="s">
        <v>80</v>
      </c>
      <c r="D27" s="20" t="s">
        <v>81</v>
      </c>
      <c r="E27" s="17"/>
      <c r="F27" s="17"/>
      <c r="G27" s="17"/>
      <c r="H27" s="17"/>
    </row>
    <row r="28" spans="1:8">
      <c r="A28" s="3" t="s">
        <v>72</v>
      </c>
      <c r="B28" s="3" t="s">
        <v>82</v>
      </c>
      <c r="C28" s="3" t="s">
        <v>83</v>
      </c>
      <c r="D28" s="20" t="s">
        <v>84</v>
      </c>
      <c r="E28" s="17"/>
      <c r="F28" s="17"/>
      <c r="G28" s="17"/>
      <c r="H28" s="17"/>
    </row>
    <row r="29" spans="1:8">
      <c r="A29" s="3" t="s">
        <v>75</v>
      </c>
      <c r="B29" s="3" t="s">
        <v>85</v>
      </c>
      <c r="C29" s="3" t="s">
        <v>86</v>
      </c>
      <c r="D29" s="20" t="s">
        <v>87</v>
      </c>
      <c r="E29" s="17"/>
      <c r="F29" s="17"/>
      <c r="G29" s="17"/>
      <c r="H29" s="17"/>
    </row>
    <row r="30" spans="1:8">
      <c r="A30" s="3" t="s">
        <v>78</v>
      </c>
      <c r="B30" s="3" t="s">
        <v>88</v>
      </c>
      <c r="C30" s="3" t="s">
        <v>89</v>
      </c>
      <c r="D30" s="20" t="s">
        <v>90</v>
      </c>
      <c r="E30" s="17"/>
      <c r="F30" s="17"/>
      <c r="G30" s="17"/>
      <c r="H30" s="17"/>
    </row>
    <row r="31" spans="1:8">
      <c r="A31" s="17" t="s">
        <v>81</v>
      </c>
      <c r="B31" s="17"/>
      <c r="C31" s="17"/>
      <c r="D31" s="17" t="str" cm="1">
        <f t="array" aca="1" ref="D31" ca="1">_xlfn.LET(_xlpm.value, OFFSET(INDIRECT(ADDRESS(ROW(), COLUMN())), 0, 2), IF(_xlpm.value="", "", _xlpm.value))</f>
        <v/>
      </c>
      <c r="E31" s="17"/>
      <c r="F31" s="17"/>
      <c r="G31" s="17"/>
      <c r="H31" s="17"/>
    </row>
    <row r="32" spans="1:8">
      <c r="A32" s="17" t="s">
        <v>84</v>
      </c>
      <c r="B32" s="17"/>
      <c r="C32" s="17"/>
      <c r="D32" s="17" t="str" cm="1">
        <f t="array" aca="1" ref="D32" ca="1">_xlfn.LET(_xlpm.value, OFFSET(INDIRECT(ADDRESS(ROW(), COLUMN())), 0, 2), IF(_xlpm.value="", "", _xlpm.value))</f>
        <v/>
      </c>
      <c r="E32" s="17"/>
      <c r="F32" s="17"/>
      <c r="G32" s="17"/>
      <c r="H32" s="17"/>
    </row>
    <row r="33" spans="1:8">
      <c r="A33" s="17" t="s">
        <v>87</v>
      </c>
      <c r="B33" s="17"/>
      <c r="C33" s="17"/>
      <c r="D33" s="17" t="str" cm="1">
        <f t="array" aca="1" ref="D33" ca="1">_xlfn.LET(_xlpm.value, OFFSET(INDIRECT(ADDRESS(ROW(), COLUMN())), 0, 2), IF(_xlpm.value="", "", _xlpm.value))</f>
        <v/>
      </c>
      <c r="E33" s="17"/>
      <c r="F33" s="17"/>
      <c r="G33" s="17"/>
      <c r="H33" s="17"/>
    </row>
    <row r="34" spans="1:8">
      <c r="A34" s="17" t="s">
        <v>90</v>
      </c>
      <c r="B34" s="17"/>
      <c r="C34" s="17"/>
      <c r="D34" s="17" t="str" cm="1">
        <f t="array" aca="1" ref="D34" ca="1">_xlfn.LET(_xlpm.value, OFFSET(INDIRECT(ADDRESS(ROW(), COLUMN())), 0, 2), IF(_xlpm.value="", "", _xlpm.value))</f>
        <v/>
      </c>
      <c r="E34" s="17"/>
      <c r="F34" s="17"/>
      <c r="G34" s="17"/>
      <c r="H34" s="17"/>
    </row>
    <row r="35" spans="1:8">
      <c r="A35" s="17"/>
      <c r="B35" s="17"/>
      <c r="C35" s="17"/>
      <c r="D35" s="17" t="str" cm="1">
        <f t="array" aca="1" ref="D35" ca="1">_xlfn.LET(_xlpm.value, OFFSET(INDIRECT(ADDRESS(ROW(), COLUMN())), 0, 2), IF(_xlpm.value="", "", _xlpm.value))</f>
        <v/>
      </c>
      <c r="E35" s="17"/>
      <c r="F35" s="17"/>
      <c r="G35" s="17"/>
      <c r="H35" s="17"/>
    </row>
  </sheetData>
  <conditionalFormatting sqref="I11:U27 A15:F23 E28:T999999 A31:D999999 D11:F14">
    <cfRule type="expression" dxfId="508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9C92-9F06-4CC0-A917-AEAF31F35DA6}">
  <dimension ref="A1:N38"/>
  <sheetViews>
    <sheetView tabSelected="1" workbookViewId="0">
      <selection activeCell="A7" sqref="A7"/>
    </sheetView>
  </sheetViews>
  <sheetFormatPr defaultRowHeight="15"/>
  <cols>
    <col min="1" max="1" width="24.140625" customWidth="1"/>
    <col min="2" max="2" width="11.42578125" customWidth="1"/>
    <col min="3" max="3" width="12.5703125" bestFit="1" customWidth="1"/>
    <col min="4" max="4" width="11.28515625" bestFit="1" customWidth="1"/>
    <col min="5" max="5" width="8.28515625" bestFit="1" customWidth="1"/>
    <col min="6" max="6" width="21" bestFit="1" customWidth="1"/>
    <col min="7" max="7" width="15" bestFit="1" customWidth="1"/>
    <col min="8" max="8" width="13.7109375" bestFit="1" customWidth="1"/>
    <col min="9" max="9" width="8.7109375" customWidth="1"/>
    <col min="10" max="10" width="21" customWidth="1"/>
    <col min="11" max="12" width="12.42578125" customWidth="1"/>
    <col min="13" max="13" width="62.140625" customWidth="1"/>
    <col min="14" max="14" width="62.5703125" customWidth="1"/>
  </cols>
  <sheetData>
    <row r="1" spans="1:14">
      <c r="A1" t="s">
        <v>91</v>
      </c>
    </row>
    <row r="2" spans="1:14">
      <c r="A2" t="s">
        <v>92</v>
      </c>
    </row>
    <row r="3" spans="1:14">
      <c r="A3" t="s">
        <v>93</v>
      </c>
    </row>
    <row r="9" spans="1:14">
      <c r="A9" s="3" t="s">
        <v>94</v>
      </c>
      <c r="I9" s="3"/>
    </row>
    <row r="10" spans="1:14">
      <c r="A10" t="s">
        <v>95</v>
      </c>
      <c r="B10" t="s">
        <v>96</v>
      </c>
      <c r="C10" t="s">
        <v>97</v>
      </c>
      <c r="D10" t="s">
        <v>98</v>
      </c>
      <c r="E10" t="s">
        <v>99</v>
      </c>
      <c r="F10" t="s">
        <v>100</v>
      </c>
      <c r="G10" t="s">
        <v>101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107</v>
      </c>
      <c r="N10" t="s">
        <v>108</v>
      </c>
    </row>
    <row r="11" spans="1:14">
      <c r="A11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Al (µM) to Al (mg/L)</v>
      </c>
      <c r="B11">
        <v>1</v>
      </c>
      <c r="C11">
        <v>26.981999999999999</v>
      </c>
      <c r="D11" t="s">
        <v>109</v>
      </c>
      <c r="E11" t="s">
        <v>90</v>
      </c>
      <c r="F11" t="s">
        <v>110</v>
      </c>
      <c r="G11">
        <v>1000</v>
      </c>
      <c r="H11" t="s">
        <v>19</v>
      </c>
      <c r="I11" t="s">
        <v>90</v>
      </c>
      <c r="J11" t="s">
        <v>110</v>
      </c>
      <c r="K11" s="17">
        <f>IF(_xlfn.SINGLE(Conversions[Key])="", "", (_xlfn.SINGLE(Conversions[Ratio]) * _xlfn.SINGLE(Conversions[To (Value)])) / _xlfn.SINGLE(Conversions[From (Value)]))</f>
        <v>2.6981999999999999E-2</v>
      </c>
      <c r="L11" s="17" t="s">
        <v>111</v>
      </c>
      <c r="M11" s="48" t="s">
        <v>112</v>
      </c>
      <c r="N11" t="s">
        <v>113</v>
      </c>
    </row>
    <row r="12" spans="1:14">
      <c r="A1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B (µM) to B (mg/L)</v>
      </c>
      <c r="B12">
        <v>1</v>
      </c>
      <c r="C12">
        <v>10.81</v>
      </c>
      <c r="D12" t="s">
        <v>109</v>
      </c>
      <c r="E12" t="s">
        <v>49</v>
      </c>
      <c r="F12" t="s">
        <v>114</v>
      </c>
      <c r="G12">
        <v>1000</v>
      </c>
      <c r="H12" t="s">
        <v>19</v>
      </c>
      <c r="I12" t="s">
        <v>49</v>
      </c>
      <c r="J12" t="s">
        <v>114</v>
      </c>
      <c r="K12" s="17">
        <f>IF(_xlfn.SINGLE(Conversions[Key])="", "", (_xlfn.SINGLE(Conversions[Ratio]) * _xlfn.SINGLE(Conversions[To (Value)])) / _xlfn.SINGLE(Conversions[From (Value)]))</f>
        <v>1.081E-2</v>
      </c>
      <c r="L12" s="17" t="s">
        <v>111</v>
      </c>
    </row>
    <row r="13" spans="1:14">
      <c r="A13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Ca (µM) to Ca (mg/L)</v>
      </c>
      <c r="B13">
        <v>1</v>
      </c>
      <c r="C13">
        <v>40.078000000000003</v>
      </c>
      <c r="D13" t="s">
        <v>109</v>
      </c>
      <c r="E13" t="s">
        <v>33</v>
      </c>
      <c r="F13" t="s">
        <v>115</v>
      </c>
      <c r="G13">
        <v>1000</v>
      </c>
      <c r="H13" t="s">
        <v>19</v>
      </c>
      <c r="I13" t="s">
        <v>33</v>
      </c>
      <c r="J13" t="s">
        <v>115</v>
      </c>
      <c r="K13" s="17">
        <f>IF(_xlfn.SINGLE(Conversions[Key])="", "", (_xlfn.SINGLE(Conversions[Ratio]) * _xlfn.SINGLE(Conversions[To (Value)])) / _xlfn.SINGLE(Conversions[From (Value)]))</f>
        <v>4.0078000000000003E-2</v>
      </c>
      <c r="L13" s="17" t="s">
        <v>111</v>
      </c>
    </row>
    <row r="14" spans="1:14">
      <c r="A1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Cl (µM) to Cl (mg/L)</v>
      </c>
      <c r="B14">
        <v>1</v>
      </c>
      <c r="C14">
        <v>35.450000000000003</v>
      </c>
      <c r="D14" t="s">
        <v>109</v>
      </c>
      <c r="E14" t="s">
        <v>72</v>
      </c>
      <c r="F14" t="s">
        <v>116</v>
      </c>
      <c r="G14">
        <v>1000</v>
      </c>
      <c r="H14" t="s">
        <v>19</v>
      </c>
      <c r="I14" t="s">
        <v>72</v>
      </c>
      <c r="J14" t="s">
        <v>116</v>
      </c>
      <c r="K14" s="17">
        <f>IF(_xlfn.SINGLE(Conversions[Key])="", "", (_xlfn.SINGLE(Conversions[Ratio]) * _xlfn.SINGLE(Conversions[To (Value)])) / _xlfn.SINGLE(Conversions[From (Value)]))</f>
        <v>3.5450000000000002E-2</v>
      </c>
      <c r="L14" s="17" t="s">
        <v>111</v>
      </c>
    </row>
    <row r="15" spans="1:14">
      <c r="A1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Co (µM) to Co (mg/L)</v>
      </c>
      <c r="B15">
        <v>1</v>
      </c>
      <c r="C15">
        <v>58.933</v>
      </c>
      <c r="D15" t="s">
        <v>109</v>
      </c>
      <c r="E15" t="s">
        <v>81</v>
      </c>
      <c r="F15" t="s">
        <v>117</v>
      </c>
      <c r="G15">
        <v>1000</v>
      </c>
      <c r="H15" t="s">
        <v>19</v>
      </c>
      <c r="I15" t="s">
        <v>81</v>
      </c>
      <c r="J15" t="s">
        <v>117</v>
      </c>
      <c r="K15" s="17">
        <f>IF(_xlfn.SINGLE(Conversions[Key])="", "", (_xlfn.SINGLE(Conversions[Ratio]) * _xlfn.SINGLE(Conversions[To (Value)])) / _xlfn.SINGLE(Conversions[From (Value)]))</f>
        <v>5.8932999999999999E-2</v>
      </c>
      <c r="L15" s="17" t="s">
        <v>111</v>
      </c>
    </row>
    <row r="16" spans="1:14">
      <c r="A16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Cu (µM) to Cu (mg/L)</v>
      </c>
      <c r="B16">
        <v>1</v>
      </c>
      <c r="C16">
        <v>63.545999999999999</v>
      </c>
      <c r="D16" t="s">
        <v>109</v>
      </c>
      <c r="E16" t="s">
        <v>53</v>
      </c>
      <c r="F16" t="s">
        <v>118</v>
      </c>
      <c r="G16">
        <v>1000</v>
      </c>
      <c r="H16" t="s">
        <v>19</v>
      </c>
      <c r="I16" t="s">
        <v>53</v>
      </c>
      <c r="J16" t="s">
        <v>118</v>
      </c>
      <c r="K16" s="17">
        <f>IF(_xlfn.SINGLE(Conversions[Key])="", "", (_xlfn.SINGLE(Conversions[Ratio]) * _xlfn.SINGLE(Conversions[To (Value)])) / _xlfn.SINGLE(Conversions[From (Value)]))</f>
        <v>6.3546000000000005E-2</v>
      </c>
      <c r="L16" s="17" t="s">
        <v>111</v>
      </c>
    </row>
    <row r="17" spans="1:12">
      <c r="A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Fe (µM) to Fe (mg/L)</v>
      </c>
      <c r="B17">
        <v>1</v>
      </c>
      <c r="C17">
        <v>55.844999999999999</v>
      </c>
      <c r="D17" t="s">
        <v>109</v>
      </c>
      <c r="E17" t="s">
        <v>57</v>
      </c>
      <c r="F17" t="s">
        <v>119</v>
      </c>
      <c r="G17">
        <v>1000</v>
      </c>
      <c r="H17" t="s">
        <v>19</v>
      </c>
      <c r="I17" t="s">
        <v>57</v>
      </c>
      <c r="J17" t="s">
        <v>119</v>
      </c>
      <c r="K17" s="17">
        <f>IF(_xlfn.SINGLE(Conversions[Key])="", "", (_xlfn.SINGLE(Conversions[Ratio]) * _xlfn.SINGLE(Conversions[To (Value)])) / _xlfn.SINGLE(Conversions[From (Value)]))</f>
        <v>5.5844999999999999E-2</v>
      </c>
      <c r="L17" s="17" t="s">
        <v>111</v>
      </c>
    </row>
    <row r="18" spans="1:12">
      <c r="A1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I (µM) to I (mg/L)</v>
      </c>
      <c r="B18">
        <v>1</v>
      </c>
      <c r="C18">
        <v>126.904</v>
      </c>
      <c r="D18" t="s">
        <v>109</v>
      </c>
      <c r="E18" t="s">
        <v>84</v>
      </c>
      <c r="F18" t="s">
        <v>120</v>
      </c>
      <c r="G18">
        <v>1000</v>
      </c>
      <c r="H18" t="s">
        <v>19</v>
      </c>
      <c r="I18" t="s">
        <v>84</v>
      </c>
      <c r="J18" t="s">
        <v>120</v>
      </c>
      <c r="K18" s="17">
        <f>IF(_xlfn.SINGLE(Conversions[Key])="", "", (_xlfn.SINGLE(Conversions[Ratio]) * _xlfn.SINGLE(Conversions[To (Value)])) / _xlfn.SINGLE(Conversions[From (Value)]))</f>
        <v>0.12690399999999999</v>
      </c>
      <c r="L18" s="17" t="s">
        <v>111</v>
      </c>
    </row>
    <row r="19" spans="1:12">
      <c r="A19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K (µM) to K (mg/L)</v>
      </c>
      <c r="B19">
        <v>1</v>
      </c>
      <c r="C19">
        <v>39.098300000000002</v>
      </c>
      <c r="D19" t="s">
        <v>109</v>
      </c>
      <c r="E19" t="s">
        <v>26</v>
      </c>
      <c r="F19" t="s">
        <v>121</v>
      </c>
      <c r="G19">
        <v>1000</v>
      </c>
      <c r="H19" t="s">
        <v>19</v>
      </c>
      <c r="I19" t="s">
        <v>26</v>
      </c>
      <c r="J19" t="s">
        <v>121</v>
      </c>
      <c r="K19" s="17">
        <f>IF(_xlfn.SINGLE(Conversions[Key])="", "", (_xlfn.SINGLE(Conversions[Ratio]) * _xlfn.SINGLE(Conversions[To (Value)])) / _xlfn.SINGLE(Conversions[From (Value)]))</f>
        <v>3.9098300000000002E-2</v>
      </c>
      <c r="L19" s="17" t="s">
        <v>111</v>
      </c>
    </row>
    <row r="20" spans="1:12">
      <c r="A20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Mg (µM) to Mg (mg/L)</v>
      </c>
      <c r="B20">
        <v>1</v>
      </c>
      <c r="C20">
        <v>24.305</v>
      </c>
      <c r="D20" t="s">
        <v>109</v>
      </c>
      <c r="E20" t="s">
        <v>39</v>
      </c>
      <c r="F20" t="s">
        <v>122</v>
      </c>
      <c r="G20">
        <v>1000</v>
      </c>
      <c r="H20" t="s">
        <v>19</v>
      </c>
      <c r="I20" t="s">
        <v>39</v>
      </c>
      <c r="J20" t="s">
        <v>122</v>
      </c>
      <c r="K20" s="17">
        <f>IF(_xlfn.SINGLE(Conversions[Key])="", "", (_xlfn.SINGLE(Conversions[Ratio]) * _xlfn.SINGLE(Conversions[To (Value)])) / _xlfn.SINGLE(Conversions[From (Value)]))</f>
        <v>2.4305E-2</v>
      </c>
      <c r="L20" s="17" t="s">
        <v>111</v>
      </c>
    </row>
    <row r="21" spans="1:12">
      <c r="A21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Mn (µM) to Mn (mg/L)</v>
      </c>
      <c r="B21">
        <v>1</v>
      </c>
      <c r="C21">
        <v>54.938000000000002</v>
      </c>
      <c r="D21" t="s">
        <v>109</v>
      </c>
      <c r="E21" t="s">
        <v>60</v>
      </c>
      <c r="F21" t="s">
        <v>123</v>
      </c>
      <c r="G21">
        <v>1000</v>
      </c>
      <c r="H21" t="s">
        <v>19</v>
      </c>
      <c r="I21" t="s">
        <v>60</v>
      </c>
      <c r="J21" t="s">
        <v>123</v>
      </c>
      <c r="K21" s="17">
        <f>IF(_xlfn.SINGLE(Conversions[Key])="", "", (_xlfn.SINGLE(Conversions[Ratio]) * _xlfn.SINGLE(Conversions[To (Value)])) / _xlfn.SINGLE(Conversions[From (Value)]))</f>
        <v>5.4938000000000001E-2</v>
      </c>
      <c r="L21" s="17" t="s">
        <v>111</v>
      </c>
    </row>
    <row r="22" spans="1:12">
      <c r="A2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Mo (µM) to Mo (mg/L)</v>
      </c>
      <c r="B22">
        <v>1</v>
      </c>
      <c r="C22">
        <v>95.95</v>
      </c>
      <c r="D22" t="s">
        <v>109</v>
      </c>
      <c r="E22" t="s">
        <v>63</v>
      </c>
      <c r="F22" t="s">
        <v>124</v>
      </c>
      <c r="G22">
        <v>1000</v>
      </c>
      <c r="H22" t="s">
        <v>19</v>
      </c>
      <c r="I22" t="s">
        <v>63</v>
      </c>
      <c r="J22" t="s">
        <v>124</v>
      </c>
      <c r="K22" s="17">
        <f>IF(_xlfn.SINGLE(Conversions[Key])="", "", (_xlfn.SINGLE(Conversions[Ratio]) * _xlfn.SINGLE(Conversions[To (Value)])) / _xlfn.SINGLE(Conversions[From (Value)]))</f>
        <v>9.5950000000000008E-2</v>
      </c>
      <c r="L22" s="17" t="s">
        <v>111</v>
      </c>
    </row>
    <row r="23" spans="1:12">
      <c r="A23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(µM) to N (mg/L)</v>
      </c>
      <c r="B23">
        <v>1</v>
      </c>
      <c r="C23">
        <v>14.007</v>
      </c>
      <c r="D23" t="s">
        <v>109</v>
      </c>
      <c r="E23" t="s">
        <v>11</v>
      </c>
      <c r="F23" t="s">
        <v>125</v>
      </c>
      <c r="G23">
        <v>1000</v>
      </c>
      <c r="H23" t="s">
        <v>19</v>
      </c>
      <c r="I23" t="s">
        <v>11</v>
      </c>
      <c r="J23" t="s">
        <v>125</v>
      </c>
      <c r="K23" s="17">
        <f>IF(_xlfn.SINGLE(Conversions[Key])="", "", (_xlfn.SINGLE(Conversions[Ratio]) * _xlfn.SINGLE(Conversions[To (Value)])) / _xlfn.SINGLE(Conversions[From (Value)]))</f>
        <v>1.4007E-2</v>
      </c>
      <c r="L23" s="17" t="s">
        <v>111</v>
      </c>
    </row>
    <row r="24" spans="1:12">
      <c r="A2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Na (µM) to Na (mg/L)</v>
      </c>
      <c r="B24">
        <v>1</v>
      </c>
      <c r="C24">
        <v>22.99</v>
      </c>
      <c r="D24" t="s">
        <v>109</v>
      </c>
      <c r="E24" t="s">
        <v>75</v>
      </c>
      <c r="F24" t="s">
        <v>126</v>
      </c>
      <c r="G24">
        <v>1000</v>
      </c>
      <c r="H24" t="s">
        <v>19</v>
      </c>
      <c r="I24" t="s">
        <v>75</v>
      </c>
      <c r="J24" t="s">
        <v>126</v>
      </c>
      <c r="K24" s="17">
        <f>IF(_xlfn.SINGLE(Conversions[Key])="", "", (_xlfn.SINGLE(Conversions[Ratio]) * _xlfn.SINGLE(Conversions[To (Value)])) / _xlfn.SINGLE(Conversions[From (Value)]))</f>
        <v>2.299E-2</v>
      </c>
      <c r="L24" s="17" t="s">
        <v>111</v>
      </c>
    </row>
    <row r="25" spans="1:12">
      <c r="A2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Ni (µM) to Ni (mg/L)</v>
      </c>
      <c r="B25">
        <v>1</v>
      </c>
      <c r="C25">
        <v>58.693399999999997</v>
      </c>
      <c r="D25" t="s">
        <v>109</v>
      </c>
      <c r="E25" t="s">
        <v>69</v>
      </c>
      <c r="F25" t="s">
        <v>127</v>
      </c>
      <c r="G25">
        <v>1000</v>
      </c>
      <c r="H25" t="s">
        <v>19</v>
      </c>
      <c r="I25" t="s">
        <v>69</v>
      </c>
      <c r="J25" t="s">
        <v>127</v>
      </c>
      <c r="K25" s="17">
        <f>IF(_xlfn.SINGLE(Conversions[Key])="", "", (_xlfn.SINGLE(Conversions[Ratio]) * _xlfn.SINGLE(Conversions[To (Value)])) / _xlfn.SINGLE(Conversions[From (Value)]))</f>
        <v>5.86934E-2</v>
      </c>
      <c r="L25" s="17" t="s">
        <v>111</v>
      </c>
    </row>
    <row r="26" spans="1:12">
      <c r="A26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P (µM) to P (mg/L)</v>
      </c>
      <c r="B26">
        <v>1</v>
      </c>
      <c r="C26">
        <v>30.973800000000001</v>
      </c>
      <c r="D26" t="s">
        <v>109</v>
      </c>
      <c r="E26" t="s">
        <v>18</v>
      </c>
      <c r="F26" t="s">
        <v>128</v>
      </c>
      <c r="G26">
        <v>1000</v>
      </c>
      <c r="H26" t="s">
        <v>19</v>
      </c>
      <c r="I26" t="s">
        <v>18</v>
      </c>
      <c r="J26" t="s">
        <v>128</v>
      </c>
      <c r="K26" s="17">
        <f>IF(_xlfn.SINGLE(Conversions[Key])="", "", (_xlfn.SINGLE(Conversions[Ratio]) * _xlfn.SINGLE(Conversions[To (Value)])) / _xlfn.SINGLE(Conversions[From (Value)]))</f>
        <v>3.0973799999999999E-2</v>
      </c>
      <c r="L26" s="17" t="s">
        <v>111</v>
      </c>
    </row>
    <row r="27" spans="1:12">
      <c r="A2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 (µM) to S (mg/L)</v>
      </c>
      <c r="B27">
        <v>1</v>
      </c>
      <c r="C27">
        <v>32.06</v>
      </c>
      <c r="D27" t="s">
        <v>109</v>
      </c>
      <c r="E27" t="s">
        <v>45</v>
      </c>
      <c r="F27" t="s">
        <v>129</v>
      </c>
      <c r="G27">
        <v>1000</v>
      </c>
      <c r="H27" t="s">
        <v>19</v>
      </c>
      <c r="I27" t="s">
        <v>45</v>
      </c>
      <c r="J27" t="s">
        <v>129</v>
      </c>
      <c r="K27" s="17">
        <f>IF(_xlfn.SINGLE(Conversions[Key])="", "", (_xlfn.SINGLE(Conversions[Ratio]) * _xlfn.SINGLE(Conversions[To (Value)])) / _xlfn.SINGLE(Conversions[From (Value)]))</f>
        <v>3.2060000000000005E-2</v>
      </c>
      <c r="L27" s="17" t="s">
        <v>111</v>
      </c>
    </row>
    <row r="28" spans="1:12">
      <c r="A2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Se (µM) to Se (mg/L)</v>
      </c>
      <c r="B28">
        <v>1</v>
      </c>
      <c r="C28">
        <v>78.971000000000004</v>
      </c>
      <c r="D28" t="s">
        <v>109</v>
      </c>
      <c r="E28" t="s">
        <v>87</v>
      </c>
      <c r="F28" t="s">
        <v>130</v>
      </c>
      <c r="G28">
        <v>1000</v>
      </c>
      <c r="H28" t="s">
        <v>19</v>
      </c>
      <c r="I28" t="s">
        <v>87</v>
      </c>
      <c r="J28" t="s">
        <v>130</v>
      </c>
      <c r="K28" s="17">
        <f>IF(_xlfn.SINGLE(Conversions[Key])="", "", (_xlfn.SINGLE(Conversions[Ratio]) * _xlfn.SINGLE(Conversions[To (Value)])) / _xlfn.SINGLE(Conversions[From (Value)]))</f>
        <v>7.8971E-2</v>
      </c>
      <c r="L28" s="17" t="s">
        <v>111</v>
      </c>
    </row>
    <row r="29" spans="1:12">
      <c r="A29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Si (µM) to Si (mg/L)</v>
      </c>
      <c r="B29">
        <v>1</v>
      </c>
      <c r="C29">
        <v>28.085000000000001</v>
      </c>
      <c r="D29" t="s">
        <v>109</v>
      </c>
      <c r="E29" t="s">
        <v>78</v>
      </c>
      <c r="F29" t="s">
        <v>131</v>
      </c>
      <c r="G29">
        <v>1000</v>
      </c>
      <c r="H29" t="s">
        <v>19</v>
      </c>
      <c r="I29" t="s">
        <v>78</v>
      </c>
      <c r="J29" t="s">
        <v>131</v>
      </c>
      <c r="K29" s="17">
        <f>IF(_xlfn.SINGLE(Conversions[Key])="", "", (_xlfn.SINGLE(Conversions[Ratio]) * _xlfn.SINGLE(Conversions[To (Value)])) / _xlfn.SINGLE(Conversions[From (Value)]))</f>
        <v>2.8085000000000002E-2</v>
      </c>
      <c r="L29" s="17" t="s">
        <v>111</v>
      </c>
    </row>
    <row r="30" spans="1:12">
      <c r="A30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Zn (µM) to Zn (mg/L)</v>
      </c>
      <c r="B30">
        <v>1</v>
      </c>
      <c r="C30">
        <v>65.38</v>
      </c>
      <c r="D30" t="s">
        <v>109</v>
      </c>
      <c r="E30" t="s">
        <v>66</v>
      </c>
      <c r="F30" t="s">
        <v>132</v>
      </c>
      <c r="G30">
        <v>1000</v>
      </c>
      <c r="H30" t="s">
        <v>19</v>
      </c>
      <c r="I30" t="s">
        <v>66</v>
      </c>
      <c r="J30" t="s">
        <v>132</v>
      </c>
      <c r="K30" s="17">
        <f>IF(_xlfn.SINGLE(Conversions[Key])="", "", (_xlfn.SINGLE(Conversions[Ratio]) * _xlfn.SINGLE(Conversions[To (Value)])) / _xlfn.SINGLE(Conversions[From (Value)]))</f>
        <v>6.5379999999999994E-2</v>
      </c>
      <c r="L30" s="17" t="s">
        <v>111</v>
      </c>
    </row>
    <row r="31" spans="1:12">
      <c r="A31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% (%) to ppm (ppm)</v>
      </c>
      <c r="B31">
        <v>1</v>
      </c>
      <c r="C31" s="3">
        <v>10000</v>
      </c>
      <c r="D31" t="s">
        <v>12</v>
      </c>
      <c r="E31" t="s">
        <v>12</v>
      </c>
      <c r="F31" t="s">
        <v>133</v>
      </c>
      <c r="G31">
        <v>1</v>
      </c>
      <c r="H31" t="s">
        <v>134</v>
      </c>
      <c r="I31" t="s">
        <v>134</v>
      </c>
      <c r="J31" t="s">
        <v>135</v>
      </c>
      <c r="K31">
        <f>IF(_xlfn.SINGLE(Conversions[Key])="", "", (_xlfn.SINGLE(Conversions[Ratio]) * _xlfn.SINGLE(Conversions[To (Value)])) / _xlfn.SINGLE(Conversions[From (Value)]))</f>
        <v>10000</v>
      </c>
    </row>
    <row r="32" spans="1:12">
      <c r="A32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K₂O (g/mol) to K (g/mol)</v>
      </c>
      <c r="B32">
        <v>2</v>
      </c>
      <c r="C32">
        <v>39.1</v>
      </c>
      <c r="D32" t="s">
        <v>136</v>
      </c>
      <c r="E32" t="s">
        <v>26</v>
      </c>
      <c r="F32" t="s">
        <v>121</v>
      </c>
      <c r="G32">
        <v>94.2</v>
      </c>
      <c r="H32" t="s">
        <v>136</v>
      </c>
      <c r="I32" t="s">
        <v>137</v>
      </c>
      <c r="J32" t="s">
        <v>138</v>
      </c>
      <c r="K32" s="17">
        <f>IF(_xlfn.SINGLE(Conversions[Key])="", "", (_xlfn.SINGLE(Conversions[Ratio]) * _xlfn.SINGLE(Conversions[To (Value)])) / _xlfn.SINGLE(Conversions[From (Value)]))</f>
        <v>0.83014861995753719</v>
      </c>
      <c r="L32" s="17"/>
    </row>
    <row r="33" spans="1:12">
      <c r="A33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(g/mol) to NH₄ (g/mol)</v>
      </c>
      <c r="B33">
        <v>1</v>
      </c>
      <c r="C33">
        <v>18.039000000000001</v>
      </c>
      <c r="D33" t="s">
        <v>136</v>
      </c>
      <c r="E33" t="s">
        <v>139</v>
      </c>
      <c r="F33" t="s">
        <v>140</v>
      </c>
      <c r="G33">
        <v>14.007</v>
      </c>
      <c r="H33" t="s">
        <v>136</v>
      </c>
      <c r="I33" t="s">
        <v>11</v>
      </c>
      <c r="J33" t="s">
        <v>125</v>
      </c>
      <c r="K33" s="17">
        <f>IF(_xlfn.SINGLE(Conversions[Key])="", "", (_xlfn.SINGLE(Conversions[Ratio]) * _xlfn.SINGLE(Conversions[To (Value)])) / _xlfn.SINGLE(Conversions[From (Value)]))</f>
        <v>1.2878560719640182</v>
      </c>
      <c r="L33" s="17"/>
    </row>
    <row r="34" spans="1:12">
      <c r="A34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 (g/mol) to NO₃ (g/mol)</v>
      </c>
      <c r="B34">
        <v>1</v>
      </c>
      <c r="C34">
        <v>62.003999999999998</v>
      </c>
      <c r="D34" t="s">
        <v>136</v>
      </c>
      <c r="E34" t="s">
        <v>141</v>
      </c>
      <c r="F34" t="s">
        <v>142</v>
      </c>
      <c r="G34">
        <v>14.007</v>
      </c>
      <c r="H34" t="s">
        <v>136</v>
      </c>
      <c r="I34" t="s">
        <v>11</v>
      </c>
      <c r="J34" t="s">
        <v>125</v>
      </c>
      <c r="K34" s="17">
        <f>IF(_xlfn.SINGLE(Conversions[Key])="", "", (_xlfn.SINGLE(Conversions[Ratio]) * _xlfn.SINGLE(Conversions[To (Value)])) / _xlfn.SINGLE(Conversions[From (Value)]))</f>
        <v>4.4266438209466692</v>
      </c>
      <c r="L34" s="17"/>
    </row>
    <row r="35" spans="1:12">
      <c r="A35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NH₄ (g/mol) to N (g/mol)</v>
      </c>
      <c r="B35">
        <v>1</v>
      </c>
      <c r="C35">
        <v>14.007</v>
      </c>
      <c r="D35" t="s">
        <v>136</v>
      </c>
      <c r="E35" t="s">
        <v>11</v>
      </c>
      <c r="F35" t="s">
        <v>125</v>
      </c>
      <c r="G35">
        <v>18.039000000000001</v>
      </c>
      <c r="H35" t="s">
        <v>136</v>
      </c>
      <c r="I35" t="s">
        <v>139</v>
      </c>
      <c r="J35" t="s">
        <v>140</v>
      </c>
      <c r="K35" s="17">
        <f>IF(_xlfn.SINGLE(Conversions[Key])="", "", (_xlfn.SINGLE(Conversions[Ratio]) * _xlfn.SINGLE(Conversions[To (Value)])) / _xlfn.SINGLE(Conversions[From (Value)]))</f>
        <v>0.77648428405122227</v>
      </c>
      <c r="L35" s="17"/>
    </row>
    <row r="36" spans="1:12">
      <c r="A36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NO₃ (g/mol) to N (g/mol)</v>
      </c>
      <c r="B36">
        <v>1</v>
      </c>
      <c r="C36">
        <v>14.007</v>
      </c>
      <c r="D36" t="s">
        <v>136</v>
      </c>
      <c r="E36" t="s">
        <v>11</v>
      </c>
      <c r="F36" t="s">
        <v>125</v>
      </c>
      <c r="G36">
        <v>62.003999999999998</v>
      </c>
      <c r="H36" t="s">
        <v>136</v>
      </c>
      <c r="I36" t="s">
        <v>141</v>
      </c>
      <c r="J36" t="s">
        <v>142</v>
      </c>
      <c r="K36" s="17">
        <f>IF(_xlfn.SINGLE(Conversions[Key])="", "", (_xlfn.SINGLE(Conversions[Ratio]) * _xlfn.SINGLE(Conversions[To (Value)])) / _xlfn.SINGLE(Conversions[From (Value)]))</f>
        <v>0.22590478033675246</v>
      </c>
      <c r="L36" s="17"/>
    </row>
    <row r="37" spans="1:12">
      <c r="A37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P₂O₅ (g/mol) to P (g/mol)</v>
      </c>
      <c r="B37">
        <v>2</v>
      </c>
      <c r="C37">
        <v>30.97</v>
      </c>
      <c r="D37" t="s">
        <v>136</v>
      </c>
      <c r="E37" t="s">
        <v>18</v>
      </c>
      <c r="F37" t="s">
        <v>128</v>
      </c>
      <c r="G37">
        <v>141.94</v>
      </c>
      <c r="H37" t="s">
        <v>136</v>
      </c>
      <c r="I37" t="s">
        <v>143</v>
      </c>
      <c r="J37" t="s">
        <v>144</v>
      </c>
      <c r="K37" s="17">
        <f>IF(_xlfn.SINGLE(Conversions[Key])="", "", (_xlfn.SINGLE(Conversions[Ratio]) * _xlfn.SINGLE(Conversions[To (Value)])) / _xlfn.SINGLE(Conversions[From (Value)]))</f>
        <v>0.43638156967732844</v>
      </c>
      <c r="L37" s="17"/>
    </row>
    <row r="38" spans="1:12">
      <c r="A38" s="17" t="str">
        <f>IF(Conversions[[#This Row],[From]]="", "", Conversions[[#This Row],[From]] &amp; " (" &amp; Conversions[[#This Row],[From (Unit)]] &amp; ") to " &amp; Conversions[[#This Row],[To]] &amp; " (" &amp; Conversions[[#This Row],[To (Unit)]] &amp; ")")</f>
        <v>SO₄²⁻ (g/mol) to S (g/mol)</v>
      </c>
      <c r="B38">
        <v>1</v>
      </c>
      <c r="C38">
        <v>32.06</v>
      </c>
      <c r="D38" t="s">
        <v>136</v>
      </c>
      <c r="E38" t="s">
        <v>45</v>
      </c>
      <c r="F38" t="s">
        <v>129</v>
      </c>
      <c r="G38">
        <v>96.06</v>
      </c>
      <c r="H38" t="s">
        <v>136</v>
      </c>
      <c r="I38" t="s">
        <v>145</v>
      </c>
      <c r="J38" t="s">
        <v>146</v>
      </c>
      <c r="K38" s="17">
        <f>IF(_xlfn.SINGLE(Conversions[Key])="", "", (_xlfn.SINGLE(Conversions[Ratio]) * _xlfn.SINGLE(Conversions[To (Value)])) / _xlfn.SINGLE(Conversions[From (Value)]))</f>
        <v>0.33374973974599209</v>
      </c>
      <c r="L38" s="17"/>
    </row>
  </sheetData>
  <conditionalFormatting sqref="H11:H999975 I12:J999975 J11 A11:B999975 C12:C20 C23:C999975 D11:D999975 E12:E999975 G12:G999975 F12 F14:F21 F23:F999975 K11:AK29 K30:N999975">
    <cfRule type="expression" dxfId="499" priority="2">
      <formula>AND(A11="", $I11&lt;&gt;"", A$10&lt;&gt;"")</formula>
    </cfRule>
  </conditionalFormatting>
  <conditionalFormatting sqref="O30:AK999962 K11:AK29 K30:N999975 H11:H999975 G11:H11 G12:J999975 J11 A11:F999975">
    <cfRule type="expression" dxfId="498" priority="1">
      <formula>_xlfn.ISFORMULA(A11)</formula>
    </cfRule>
  </conditionalFormatting>
  <conditionalFormatting sqref="O39:AK999962">
    <cfRule type="expression" dxfId="497" priority="328">
      <formula>AND(O39="", $I52&lt;&gt;"", O$10&lt;&gt;"")</formula>
    </cfRule>
  </conditionalFormatting>
  <conditionalFormatting sqref="O30:AK38">
    <cfRule type="expression" dxfId="496" priority="339">
      <formula>AND(O30="", #REF!&lt;&gt;"", O$10&lt;&gt;"")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2668-936D-4B6E-A520-3D518F68B02B}">
  <dimension ref="A10:I15"/>
  <sheetViews>
    <sheetView topLeftCell="A3" workbookViewId="0">
      <selection activeCell="C18" sqref="C18"/>
    </sheetView>
  </sheetViews>
  <sheetFormatPr defaultRowHeight="15"/>
  <cols>
    <col min="1" max="1" width="7.140625" customWidth="1"/>
    <col min="2" max="2" width="17.140625" customWidth="1"/>
    <col min="3" max="3" width="10.140625" customWidth="1"/>
    <col min="4" max="5" width="36.7109375" customWidth="1"/>
    <col min="6" max="6" width="28.42578125" customWidth="1"/>
    <col min="7" max="7" width="20.85546875" customWidth="1"/>
    <col min="8" max="8" width="115.140625" customWidth="1"/>
  </cols>
  <sheetData>
    <row r="10" spans="1:9">
      <c r="A10" t="s">
        <v>147</v>
      </c>
      <c r="B10" t="s">
        <v>148</v>
      </c>
      <c r="C10" t="s">
        <v>149</v>
      </c>
      <c r="D10" t="s">
        <v>150</v>
      </c>
      <c r="E10" t="s">
        <v>151</v>
      </c>
      <c r="F10" t="s">
        <v>152</v>
      </c>
    </row>
    <row r="11" spans="1:9">
      <c r="A11" s="10" t="s">
        <v>153</v>
      </c>
      <c r="B11" s="10" t="s">
        <v>154</v>
      </c>
      <c r="C11" s="10" t="s">
        <v>155</v>
      </c>
      <c r="D11" t="s">
        <v>156</v>
      </c>
      <c r="E11" t="s">
        <v>156</v>
      </c>
      <c r="G11" s="10"/>
      <c r="H11" s="6"/>
      <c r="I11" s="9"/>
    </row>
    <row r="12" spans="1:9">
      <c r="A12" s="10" t="s">
        <v>157</v>
      </c>
      <c r="B12" t="s">
        <v>158</v>
      </c>
      <c r="C12" t="s">
        <v>159</v>
      </c>
      <c r="D12" t="s">
        <v>160</v>
      </c>
      <c r="E12" t="s">
        <v>160</v>
      </c>
      <c r="G12" s="10"/>
      <c r="H12" s="6"/>
      <c r="I12" s="9"/>
    </row>
    <row r="13" spans="1:9">
      <c r="A13" s="10" t="s">
        <v>161</v>
      </c>
      <c r="B13" t="s">
        <v>162</v>
      </c>
      <c r="C13" t="s">
        <v>163</v>
      </c>
      <c r="D13" t="s">
        <v>164</v>
      </c>
      <c r="E13" t="s">
        <v>164</v>
      </c>
      <c r="G13" s="10"/>
      <c r="H13" s="6"/>
      <c r="I13" s="9"/>
    </row>
    <row r="14" spans="1:9">
      <c r="G14" s="10"/>
      <c r="H14" s="6"/>
      <c r="I14" s="9"/>
    </row>
    <row r="15" spans="1:9">
      <c r="D15" s="3"/>
      <c r="E15" s="3"/>
      <c r="F15" s="3"/>
      <c r="G15" s="10"/>
      <c r="H15" s="7"/>
      <c r="I15" s="9"/>
    </row>
  </sheetData>
  <conditionalFormatting sqref="A11:AF999999">
    <cfRule type="expression" dxfId="488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18D83-459A-4B09-B9AB-1ED05D6D6B94}">
  <dimension ref="A1:K15"/>
  <sheetViews>
    <sheetView topLeftCell="A6" workbookViewId="0">
      <selection activeCell="H15" sqref="H15"/>
    </sheetView>
  </sheetViews>
  <sheetFormatPr defaultRowHeight="15"/>
  <cols>
    <col min="1" max="1" width="25.85546875" customWidth="1"/>
    <col min="2" max="2" width="39.5703125" customWidth="1"/>
    <col min="3" max="3" width="16" customWidth="1"/>
    <col min="4" max="4" width="12.140625" customWidth="1"/>
    <col min="5" max="5" width="14.42578125" customWidth="1"/>
    <col min="6" max="6" width="19.7109375" customWidth="1"/>
    <col min="7" max="7" width="20" customWidth="1"/>
    <col min="8" max="8" width="24.7109375" customWidth="1"/>
    <col min="9" max="9" width="28.42578125" customWidth="1"/>
    <col min="10" max="10" width="20.85546875" customWidth="1"/>
    <col min="11" max="11" width="115.140625" customWidth="1"/>
  </cols>
  <sheetData>
    <row r="1" spans="1:11">
      <c r="D1" s="3" t="s">
        <v>165</v>
      </c>
      <c r="E1" s="3"/>
    </row>
    <row r="2" spans="1:11">
      <c r="D2" s="3" t="s">
        <v>166</v>
      </c>
      <c r="E2" s="3"/>
    </row>
    <row r="3" spans="1:11">
      <c r="D3" t="s">
        <v>167</v>
      </c>
    </row>
    <row r="10" spans="1:11">
      <c r="A10" t="s">
        <v>168</v>
      </c>
      <c r="B10" t="s">
        <v>150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</row>
    <row r="11" spans="1:11">
      <c r="A11" t="s">
        <v>175</v>
      </c>
      <c r="B11" t="s">
        <v>175</v>
      </c>
      <c r="C11" s="10" t="s">
        <v>176</v>
      </c>
      <c r="D11" s="3" t="s">
        <v>166</v>
      </c>
      <c r="E11" s="8" t="s">
        <v>153</v>
      </c>
      <c r="H11" s="10"/>
      <c r="I11" s="10"/>
      <c r="J11" s="6"/>
      <c r="K11" s="9"/>
    </row>
    <row r="12" spans="1:11">
      <c r="A12" t="s">
        <v>177</v>
      </c>
      <c r="B12" t="s">
        <v>177</v>
      </c>
      <c r="C12" s="10" t="s">
        <v>178</v>
      </c>
      <c r="D12" s="3" t="s">
        <v>166</v>
      </c>
      <c r="E12" s="8" t="s">
        <v>179</v>
      </c>
      <c r="F12" s="10" t="s">
        <v>180</v>
      </c>
      <c r="G12" s="10" t="s">
        <v>181</v>
      </c>
      <c r="H12" s="10" t="s">
        <v>182</v>
      </c>
      <c r="I12" s="10"/>
      <c r="J12" s="6"/>
      <c r="K12" s="9"/>
    </row>
    <row r="13" spans="1:11">
      <c r="A13" t="s">
        <v>183</v>
      </c>
      <c r="B13" t="s">
        <v>184</v>
      </c>
      <c r="C13" s="10" t="s">
        <v>185</v>
      </c>
      <c r="D13" t="s">
        <v>165</v>
      </c>
      <c r="E13" s="10" t="s">
        <v>153</v>
      </c>
      <c r="F13" s="10" t="s">
        <v>186</v>
      </c>
      <c r="G13" s="10" t="s">
        <v>187</v>
      </c>
      <c r="H13" s="10" t="s">
        <v>188</v>
      </c>
      <c r="I13" s="10"/>
      <c r="J13" s="6"/>
      <c r="K13" s="9"/>
    </row>
    <row r="14" spans="1:11">
      <c r="A14" t="s">
        <v>189</v>
      </c>
      <c r="B14" t="s">
        <v>189</v>
      </c>
      <c r="C14" s="10" t="s">
        <v>190</v>
      </c>
      <c r="D14" s="3" t="s">
        <v>166</v>
      </c>
      <c r="E14" s="8" t="s">
        <v>153</v>
      </c>
      <c r="F14" s="10" t="s">
        <v>191</v>
      </c>
      <c r="G14" s="10" t="s">
        <v>192</v>
      </c>
      <c r="H14" s="10" t="s">
        <v>193</v>
      </c>
      <c r="I14" s="10"/>
      <c r="J14" s="6"/>
      <c r="K14" s="9"/>
    </row>
    <row r="15" spans="1:11">
      <c r="A15" s="3" t="s">
        <v>194</v>
      </c>
      <c r="B15" s="3" t="s">
        <v>194</v>
      </c>
      <c r="C15" s="10" t="s">
        <v>195</v>
      </c>
      <c r="D15" s="3" t="s">
        <v>167</v>
      </c>
      <c r="E15" s="8" t="s">
        <v>153</v>
      </c>
      <c r="F15" s="3"/>
      <c r="H15" s="10"/>
      <c r="I15" s="10"/>
      <c r="J15" s="7"/>
      <c r="K15" s="9"/>
    </row>
  </sheetData>
  <conditionalFormatting sqref="A11:AF999999">
    <cfRule type="expression" dxfId="487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28361-F8C2-4758-9B5C-2AA12DDB7054}">
  <dimension ref="A1:AH24"/>
  <sheetViews>
    <sheetView workbookViewId="0">
      <pane xSplit="1" topLeftCell="B5" activePane="topRight" state="frozen"/>
      <selection pane="topRight" activeCell="C27" sqref="C27"/>
    </sheetView>
  </sheetViews>
  <sheetFormatPr defaultRowHeight="15"/>
  <cols>
    <col min="1" max="1" width="24.85546875" style="62" bestFit="1" customWidth="1"/>
    <col min="2" max="2" width="11.7109375" style="62" customWidth="1"/>
    <col min="3" max="3" width="31.140625" style="62" bestFit="1" customWidth="1"/>
    <col min="4" max="4" width="19.7109375" style="62" bestFit="1" customWidth="1"/>
    <col min="5" max="5" width="67.7109375" style="62" customWidth="1"/>
    <col min="6" max="6" width="20.140625" style="62" customWidth="1"/>
    <col min="7" max="7" width="8.28515625" style="62" bestFit="1" customWidth="1"/>
    <col min="8" max="9" width="8" style="62" bestFit="1" customWidth="1"/>
    <col min="10" max="10" width="10.42578125" style="62" bestFit="1" customWidth="1"/>
    <col min="11" max="11" width="14.5703125" style="62" bestFit="1" customWidth="1"/>
    <col min="12" max="12" width="13.28515625" style="62" bestFit="1" customWidth="1"/>
    <col min="13" max="14" width="12.7109375" style="62" bestFit="1" customWidth="1"/>
    <col min="15" max="15" width="16.7109375" style="62" customWidth="1"/>
    <col min="16" max="16" width="18.140625" style="62" customWidth="1"/>
    <col min="17" max="17" width="13.5703125" style="62" customWidth="1"/>
    <col min="18" max="18" width="9" style="62" bestFit="1" customWidth="1"/>
    <col min="19" max="19" width="9.7109375" style="62" bestFit="1" customWidth="1"/>
    <col min="20" max="20" width="7.85546875" style="62" bestFit="1" customWidth="1"/>
    <col min="21" max="21" width="8" style="62" bestFit="1" customWidth="1"/>
    <col min="22" max="22" width="9.140625" style="62" bestFit="1" customWidth="1"/>
    <col min="23" max="23" width="8.85546875" style="62" bestFit="1" customWidth="1"/>
    <col min="24" max="25" width="9.85546875" style="62" bestFit="1" customWidth="1"/>
    <col min="26" max="26" width="9" style="62" bestFit="1" customWidth="1"/>
    <col min="27" max="27" width="8.7109375" style="62" bestFit="1" customWidth="1"/>
    <col min="28" max="28" width="8.42578125" style="62" bestFit="1" customWidth="1"/>
    <col min="29" max="29" width="9.28515625" style="62" bestFit="1" customWidth="1"/>
    <col min="30" max="30" width="8.28515625" style="62" bestFit="1" customWidth="1"/>
    <col min="31" max="31" width="9.140625" style="62" bestFit="1" customWidth="1"/>
    <col min="32" max="32" width="7.42578125" style="62" bestFit="1" customWidth="1"/>
    <col min="33" max="33" width="8.85546875" style="62" bestFit="1" customWidth="1"/>
    <col min="34" max="34" width="8.5703125" style="62" bestFit="1" customWidth="1"/>
    <col min="35" max="16384" width="9.140625" style="62"/>
  </cols>
  <sheetData>
    <row r="1" spans="1:34">
      <c r="A1" s="62" t="s">
        <v>196</v>
      </c>
    </row>
    <row r="9" spans="1:34">
      <c r="J9" s="62" t="s">
        <v>142</v>
      </c>
      <c r="K9" s="62" t="s">
        <v>140</v>
      </c>
      <c r="M9" s="62" t="s">
        <v>142</v>
      </c>
      <c r="N9" s="62" t="s">
        <v>140</v>
      </c>
      <c r="O9" s="62" t="s">
        <v>197</v>
      </c>
      <c r="P9" s="62" t="s">
        <v>198</v>
      </c>
      <c r="Q9" s="62" t="s">
        <v>199</v>
      </c>
    </row>
    <row r="10" spans="1:34">
      <c r="A10" s="62" t="s">
        <v>200</v>
      </c>
      <c r="B10" s="62" t="s">
        <v>201</v>
      </c>
      <c r="C10" s="62" t="s">
        <v>150</v>
      </c>
      <c r="D10" s="62" t="s">
        <v>202</v>
      </c>
      <c r="E10" s="62" t="s">
        <v>203</v>
      </c>
      <c r="F10" s="62" t="s">
        <v>204</v>
      </c>
      <c r="G10" s="62" t="s">
        <v>9</v>
      </c>
      <c r="H10" s="62" t="s">
        <v>16</v>
      </c>
      <c r="I10" s="62" t="s">
        <v>24</v>
      </c>
      <c r="J10" s="62" t="s">
        <v>205</v>
      </c>
      <c r="K10" s="62" t="s">
        <v>206</v>
      </c>
      <c r="L10" s="62" t="s">
        <v>207</v>
      </c>
      <c r="M10" s="62" t="s">
        <v>208</v>
      </c>
      <c r="N10" s="62" t="s">
        <v>209</v>
      </c>
      <c r="O10" s="62" t="s">
        <v>210</v>
      </c>
      <c r="P10" s="62" t="s">
        <v>211</v>
      </c>
      <c r="Q10" s="62" t="s">
        <v>212</v>
      </c>
      <c r="R10" s="62" t="s">
        <v>31</v>
      </c>
      <c r="S10" s="62" t="s">
        <v>37</v>
      </c>
      <c r="T10" s="62" t="s">
        <v>43</v>
      </c>
      <c r="U10" s="62" t="s">
        <v>47</v>
      </c>
      <c r="V10" s="62" t="s">
        <v>51</v>
      </c>
      <c r="W10" s="62" t="s">
        <v>55</v>
      </c>
      <c r="X10" s="62" t="s">
        <v>58</v>
      </c>
      <c r="Y10" s="62" t="s">
        <v>61</v>
      </c>
      <c r="Z10" s="62" t="s">
        <v>64</v>
      </c>
      <c r="AA10" s="62" t="s">
        <v>67</v>
      </c>
      <c r="AB10" s="62" t="s">
        <v>70</v>
      </c>
      <c r="AC10" s="62" t="s">
        <v>73</v>
      </c>
      <c r="AD10" s="62" t="s">
        <v>76</v>
      </c>
      <c r="AE10" s="62" t="s">
        <v>79</v>
      </c>
      <c r="AF10" s="62" t="s">
        <v>82</v>
      </c>
      <c r="AG10" s="62" t="s">
        <v>85</v>
      </c>
      <c r="AH10" s="62" t="s">
        <v>88</v>
      </c>
    </row>
    <row r="11" spans="1:34">
      <c r="A11" s="62" t="s">
        <v>213</v>
      </c>
      <c r="B11" s="63" t="s">
        <v>214</v>
      </c>
      <c r="C11" s="62" t="s">
        <v>213</v>
      </c>
      <c r="D11" s="62" t="s">
        <v>215</v>
      </c>
      <c r="E11" s="64" t="s">
        <v>216</v>
      </c>
      <c r="F11" s="62">
        <v>136.08600000000001</v>
      </c>
      <c r="G11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H11" s="62">
        <f>IF(Fertilizers[[#This Row],[P₂O₅ (%)]]="", "", Fertilizers[[#This Row],[P₂O₅ (%)]] * _xlfn.XLOOKUP("P₂O₅ (g/mol) to P (g/mol)", Conversions[Key], Conversions[Multiply By]))</f>
        <v>22.757298858672677</v>
      </c>
      <c r="I11" s="62">
        <f>IF(Fertilizers[[#This Row],[K₂O (%)]]="", "", Fertilizers[[#This Row],[K₂O (%)]] * _xlfn.XLOOKUP("K₂O (g/mol) to K (g/mol)", Conversions[Key], Conversions[Multiply By]))</f>
        <v>28.731443736730363</v>
      </c>
      <c r="J11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K11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L11" s="62">
        <v>0</v>
      </c>
      <c r="M11" s="62">
        <v>0</v>
      </c>
      <c r="N11" s="62">
        <v>0</v>
      </c>
      <c r="O11" s="62">
        <v>0</v>
      </c>
      <c r="P11" s="62">
        <v>52.15</v>
      </c>
      <c r="Q11" s="62">
        <v>34.61</v>
      </c>
      <c r="R11" s="62">
        <v>0</v>
      </c>
      <c r="S11" s="62">
        <v>0</v>
      </c>
      <c r="T11" s="62">
        <v>0</v>
      </c>
      <c r="U11" s="62">
        <v>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0</v>
      </c>
      <c r="AD11" s="62">
        <v>0</v>
      </c>
      <c r="AE11" s="62">
        <v>0</v>
      </c>
      <c r="AF11" s="62">
        <v>0</v>
      </c>
      <c r="AG11" s="62">
        <v>0</v>
      </c>
      <c r="AH11" s="62">
        <v>0</v>
      </c>
    </row>
    <row r="12" spans="1:34">
      <c r="A12" s="62" t="s">
        <v>217</v>
      </c>
      <c r="B12" s="62" t="s">
        <v>214</v>
      </c>
      <c r="C12" s="62" t="s">
        <v>217</v>
      </c>
      <c r="D12" s="62" t="s">
        <v>218</v>
      </c>
      <c r="E12" s="62" t="s">
        <v>219</v>
      </c>
      <c r="F12" s="62">
        <v>74.55</v>
      </c>
      <c r="G12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H12" s="62">
        <f>IF(Fertilizers[[#This Row],[P₂O₅ (%)]]="", "", Fertilizers[[#This Row],[P₂O₅ (%)]] * _xlfn.XLOOKUP("P₂O₅ (g/mol) to P (g/mol)", Conversions[Key], Conversions[Multiply By]))</f>
        <v>0</v>
      </c>
      <c r="I12" s="62">
        <f>IF(Fertilizers[[#This Row],[K₂O (%)]]="", "", Fertilizers[[#This Row],[K₂O (%)]] * _xlfn.XLOOKUP("K₂O (g/mol) to K (g/mol)", Conversions[Key], Conversions[Multiply By]))</f>
        <v>52.440488322717627</v>
      </c>
      <c r="J12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K12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L12" s="62">
        <v>0</v>
      </c>
      <c r="M12" s="62">
        <v>0</v>
      </c>
      <c r="N12" s="62">
        <v>0</v>
      </c>
      <c r="O12" s="62">
        <v>0</v>
      </c>
      <c r="P12" s="62">
        <v>0</v>
      </c>
      <c r="Q12" s="62">
        <v>63.17</v>
      </c>
      <c r="R12" s="62">
        <v>0</v>
      </c>
      <c r="S12" s="62">
        <v>0</v>
      </c>
      <c r="T12" s="62">
        <v>0</v>
      </c>
      <c r="U12" s="62">
        <v>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47.55</v>
      </c>
      <c r="AC12" s="62">
        <v>0</v>
      </c>
      <c r="AD12" s="62">
        <v>0</v>
      </c>
      <c r="AE12" s="62">
        <v>0</v>
      </c>
      <c r="AF12" s="62">
        <v>0</v>
      </c>
      <c r="AG12" s="62">
        <v>0</v>
      </c>
      <c r="AH12" s="62">
        <v>0</v>
      </c>
    </row>
    <row r="13" spans="1:34">
      <c r="A13" s="62" t="s">
        <v>220</v>
      </c>
      <c r="B13" s="62" t="s">
        <v>214</v>
      </c>
      <c r="C13" s="62" t="s">
        <v>220</v>
      </c>
      <c r="D13" s="62" t="s">
        <v>221</v>
      </c>
      <c r="E13" s="63" t="s">
        <v>222</v>
      </c>
      <c r="F13" s="62">
        <v>154.279</v>
      </c>
      <c r="G13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H13" s="62">
        <f>IF(Fertilizers[[#This Row],[P₂O₅ (%)]]="", "", Fertilizers[[#This Row],[P₂O₅ (%)]] * _xlfn.XLOOKUP("P₂O₅ (g/mol) to P (g/mol)", Conversions[Key], Conversions[Multiply By]))</f>
        <v>0</v>
      </c>
      <c r="I13" s="62">
        <f>IF(Fertilizers[[#This Row],[K₂O (%)]]="", "", Fertilizers[[#This Row],[K₂O (%)]] * _xlfn.XLOOKUP("K₂O (g/mol) to K (g/mol)", Conversions[Key], Conversions[Multiply By]))</f>
        <v>25.40254777070064</v>
      </c>
      <c r="J13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K13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L13" s="62">
        <v>0</v>
      </c>
      <c r="M13" s="62">
        <v>0</v>
      </c>
      <c r="N13" s="62">
        <v>0</v>
      </c>
      <c r="O13" s="62">
        <v>0</v>
      </c>
      <c r="P13" s="62">
        <v>0</v>
      </c>
      <c r="Q13" s="62">
        <v>30.6</v>
      </c>
      <c r="R13" s="62">
        <v>0</v>
      </c>
      <c r="S13" s="62">
        <v>0</v>
      </c>
      <c r="T13" s="62">
        <v>0</v>
      </c>
      <c r="U13" s="62">
        <v>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0</v>
      </c>
      <c r="AD13" s="62">
        <v>18.23</v>
      </c>
      <c r="AE13" s="62">
        <v>0</v>
      </c>
      <c r="AF13" s="62">
        <v>0</v>
      </c>
      <c r="AG13" s="62">
        <v>0</v>
      </c>
      <c r="AH13" s="62">
        <v>0</v>
      </c>
    </row>
    <row r="14" spans="1:34">
      <c r="A14" s="62" t="s">
        <v>223</v>
      </c>
      <c r="B14" s="62" t="s">
        <v>214</v>
      </c>
      <c r="C14" s="62" t="s">
        <v>223</v>
      </c>
      <c r="D14" s="62" t="s">
        <v>224</v>
      </c>
      <c r="E14" s="62" t="s">
        <v>225</v>
      </c>
      <c r="F14" s="62">
        <v>174.25</v>
      </c>
      <c r="G14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H14" s="62">
        <f>IF(Fertilizers[[#This Row],[P₂O₅ (%)]]="", "", Fertilizers[[#This Row],[P₂O₅ (%)]] * _xlfn.XLOOKUP("P₂O₅ (g/mol) to P (g/mol)", Conversions[Key], Conversions[Multiply By]))</f>
        <v>0</v>
      </c>
      <c r="I14" s="62">
        <f>IF(Fertilizers[[#This Row],[K₂O (%)]]="", "", Fertilizers[[#This Row],[K₂O (%)]] * _xlfn.XLOOKUP("K₂O (g/mol) to K (g/mol)", Conversions[Key], Conversions[Multiply By]))</f>
        <v>44.869532908704883</v>
      </c>
      <c r="J14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K14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L14" s="62">
        <v>0</v>
      </c>
      <c r="M14" s="62">
        <v>0</v>
      </c>
      <c r="N14" s="62">
        <v>0</v>
      </c>
      <c r="O14" s="62">
        <v>0</v>
      </c>
      <c r="P14" s="62">
        <v>0</v>
      </c>
      <c r="Q14" s="62">
        <v>54.05</v>
      </c>
      <c r="R14" s="62">
        <v>0</v>
      </c>
      <c r="S14" s="62">
        <v>0</v>
      </c>
      <c r="T14" s="62">
        <v>18.399999999999999</v>
      </c>
      <c r="U14" s="62">
        <v>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0</v>
      </c>
      <c r="AE14" s="62">
        <v>0</v>
      </c>
      <c r="AF14" s="62">
        <v>0</v>
      </c>
      <c r="AG14" s="62">
        <v>0</v>
      </c>
      <c r="AH14" s="62">
        <v>0</v>
      </c>
    </row>
    <row r="15" spans="1:34">
      <c r="A15" s="48" t="s">
        <v>226</v>
      </c>
      <c r="B15" s="48" t="s">
        <v>214</v>
      </c>
      <c r="C15" s="48" t="s">
        <v>226</v>
      </c>
      <c r="D15" s="48" t="s">
        <v>227</v>
      </c>
      <c r="E15" s="48" t="s">
        <v>228</v>
      </c>
      <c r="F15" s="48">
        <v>101.102</v>
      </c>
      <c r="G15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13.849999999999998</v>
      </c>
      <c r="H15" s="62">
        <f>IF(Fertilizers[[#This Row],[P₂O₅ (%)]]="", "", Fertilizers[[#This Row],[P₂O₅ (%)]] * _xlfn.XLOOKUP("P₂O₅ (g/mol) to P (g/mol)", Conversions[Key], Conversions[Multiply By]))</f>
        <v>0</v>
      </c>
      <c r="I15" s="62">
        <f>IF(Fertilizers[[#This Row],[K₂O (%)]]="", "", Fertilizers[[#This Row],[K₂O (%)]] * _xlfn.XLOOKUP("K₂O (g/mol) to K (g/mol)", Conversions[Key], Conversions[Multiply By]))</f>
        <v>38.668322717622083</v>
      </c>
      <c r="J15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61.309016920111368</v>
      </c>
      <c r="K15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L15" s="48">
        <v>13.85</v>
      </c>
      <c r="M15" s="48">
        <v>13.85</v>
      </c>
      <c r="N15" s="48">
        <v>0</v>
      </c>
      <c r="O15" s="48">
        <v>0</v>
      </c>
      <c r="P15" s="48">
        <v>0</v>
      </c>
      <c r="Q15" s="48">
        <v>46.58</v>
      </c>
      <c r="R15" s="48">
        <v>0</v>
      </c>
      <c r="S15" s="48">
        <v>0</v>
      </c>
      <c r="T15" s="48">
        <v>0</v>
      </c>
      <c r="U15" s="48">
        <v>0</v>
      </c>
      <c r="V15" s="48">
        <v>0</v>
      </c>
      <c r="W15" s="48">
        <v>0</v>
      </c>
      <c r="X15" s="48">
        <v>0</v>
      </c>
      <c r="Y15" s="48">
        <v>0</v>
      </c>
      <c r="Z15" s="48">
        <v>0</v>
      </c>
      <c r="AA15" s="48">
        <v>0</v>
      </c>
      <c r="AB15" s="48">
        <v>0</v>
      </c>
      <c r="AC15" s="48">
        <v>0</v>
      </c>
      <c r="AD15" s="48">
        <v>0</v>
      </c>
      <c r="AE15" s="48">
        <v>0</v>
      </c>
      <c r="AF15" s="48">
        <v>0</v>
      </c>
      <c r="AG15" s="48">
        <v>0</v>
      </c>
      <c r="AH15" s="48">
        <v>0</v>
      </c>
    </row>
    <row r="16" spans="1:34">
      <c r="A16" s="62" t="s">
        <v>229</v>
      </c>
      <c r="B16" s="62" t="s">
        <v>214</v>
      </c>
      <c r="C16" s="62" t="s">
        <v>230</v>
      </c>
      <c r="D16" s="62" t="s">
        <v>231</v>
      </c>
      <c r="E16" s="63" t="s">
        <v>232</v>
      </c>
      <c r="F16" s="62">
        <v>236.15</v>
      </c>
      <c r="G16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11.862544992589401</v>
      </c>
      <c r="H16" s="62">
        <f>IF(Fertilizers[[#This Row],[P₂O₅ (%)]]="", "", Fertilizers[[#This Row],[P₂O₅ (%)]] * _xlfn.XLOOKUP("P₂O₅ (g/mol) to P (g/mol)", Conversions[Key], Conversions[Multiply By]))</f>
        <v>0</v>
      </c>
      <c r="I16" s="62">
        <f>IF(Fertilizers[[#This Row],[K₂O (%)]]="", "", Fertilizers[[#This Row],[K₂O (%)]] * _xlfn.XLOOKUP("K₂O (g/mol) to K (g/mol)", Conversions[Key], Conversions[Multiply By]))</f>
        <v>0</v>
      </c>
      <c r="J16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52.511261492147725</v>
      </c>
      <c r="K16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L16" s="62">
        <v>11.862544992589401</v>
      </c>
      <c r="M16" s="63">
        <v>11.862544992589401</v>
      </c>
      <c r="N16" s="62">
        <v>0</v>
      </c>
      <c r="O16" s="62">
        <v>0</v>
      </c>
      <c r="P16" s="62">
        <v>0</v>
      </c>
      <c r="Q16" s="62">
        <v>0</v>
      </c>
      <c r="R16" s="62">
        <v>16.971416472580898</v>
      </c>
      <c r="S16" s="62">
        <v>0</v>
      </c>
      <c r="T16" s="62">
        <v>0</v>
      </c>
      <c r="U16" s="62">
        <v>0</v>
      </c>
      <c r="V16" s="62">
        <v>0</v>
      </c>
      <c r="W16" s="62">
        <v>0</v>
      </c>
      <c r="X16" s="62">
        <v>0</v>
      </c>
      <c r="Y16" s="62">
        <v>0</v>
      </c>
      <c r="Z16" s="62">
        <v>0</v>
      </c>
      <c r="AA16" s="62">
        <v>0</v>
      </c>
      <c r="AB16" s="62">
        <v>0</v>
      </c>
      <c r="AC16" s="62">
        <v>0</v>
      </c>
      <c r="AD16" s="62">
        <v>0</v>
      </c>
      <c r="AE16" s="62">
        <v>0</v>
      </c>
      <c r="AF16" s="62">
        <v>0</v>
      </c>
      <c r="AG16" s="62">
        <v>0</v>
      </c>
      <c r="AH16" s="62">
        <v>0</v>
      </c>
    </row>
    <row r="17" spans="1:34">
      <c r="A17" s="62" t="s">
        <v>233</v>
      </c>
      <c r="B17" s="62" t="s">
        <v>214</v>
      </c>
      <c r="C17" s="62" t="s">
        <v>234</v>
      </c>
      <c r="D17" s="62" t="s">
        <v>235</v>
      </c>
      <c r="E17" s="62" t="s">
        <v>219</v>
      </c>
      <c r="F17" s="62">
        <v>246.47</v>
      </c>
      <c r="G17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0</v>
      </c>
      <c r="H17" s="62">
        <f>IF(Fertilizers[[#This Row],[P₂O₅ (%)]]="", "", Fertilizers[[#This Row],[P₂O₅ (%)]] * _xlfn.XLOOKUP("P₂O₅ (g/mol) to P (g/mol)", Conversions[Key], Conversions[Multiply By]))</f>
        <v>0</v>
      </c>
      <c r="I17" s="62">
        <f>IF(Fertilizers[[#This Row],[K₂O (%)]]="", "", Fertilizers[[#This Row],[K₂O (%)]] * _xlfn.XLOOKUP("K₂O (g/mol) to K (g/mol)", Conversions[Key], Conversions[Multiply By]))</f>
        <v>0</v>
      </c>
      <c r="J17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0</v>
      </c>
      <c r="K17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</v>
      </c>
      <c r="L17" s="62">
        <v>0</v>
      </c>
      <c r="M17" s="62">
        <v>0</v>
      </c>
      <c r="N17" s="62">
        <v>0</v>
      </c>
      <c r="O17" s="62">
        <v>0</v>
      </c>
      <c r="P17" s="62">
        <v>0</v>
      </c>
      <c r="Q17" s="62">
        <v>0</v>
      </c>
      <c r="R17" s="62">
        <v>0</v>
      </c>
      <c r="S17" s="62">
        <v>9.86</v>
      </c>
      <c r="T17" s="62">
        <v>13.01</v>
      </c>
      <c r="U17" s="62">
        <v>0</v>
      </c>
      <c r="V17" s="62">
        <v>0</v>
      </c>
      <c r="W17" s="62">
        <v>0</v>
      </c>
      <c r="X17" s="62">
        <v>0</v>
      </c>
      <c r="Y17" s="62">
        <v>0</v>
      </c>
      <c r="Z17" s="62">
        <v>0</v>
      </c>
      <c r="AA17" s="62">
        <v>0</v>
      </c>
      <c r="AB17" s="62">
        <v>0</v>
      </c>
      <c r="AC17" s="62">
        <v>0</v>
      </c>
      <c r="AD17" s="62">
        <v>0</v>
      </c>
      <c r="AE17" s="62">
        <v>0</v>
      </c>
      <c r="AF17" s="62">
        <v>0</v>
      </c>
      <c r="AG17" s="62">
        <v>0</v>
      </c>
      <c r="AH17" s="62">
        <v>0</v>
      </c>
    </row>
    <row r="18" spans="1:34">
      <c r="A18" s="63" t="s">
        <v>236</v>
      </c>
      <c r="B18" s="63" t="s">
        <v>214</v>
      </c>
      <c r="C18" s="62" t="s">
        <v>237</v>
      </c>
      <c r="D18" s="63" t="s">
        <v>238</v>
      </c>
      <c r="E18" s="62" t="s">
        <v>238</v>
      </c>
      <c r="F18" s="63" t="s">
        <v>238</v>
      </c>
      <c r="G18" s="63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11.999999999999998</v>
      </c>
      <c r="H18" s="62">
        <f>IF(Fertilizers[[#This Row],[P₂O₅ (%)]]="", "", Fertilizers[[#This Row],[P₂O₅ (%)]] * _xlfn.XLOOKUP("P₂O₅ (g/mol) to P (g/mol)", Conversions[Key], Conversions[Multiply By]))</f>
        <v>1.7455262787093138</v>
      </c>
      <c r="I18" s="62">
        <f>IF(Fertilizers[[#This Row],[K₂O (%)]]="", "", Fertilizers[[#This Row],[K₂O (%)]] * _xlfn.XLOOKUP("K₂O (g/mol) to K (g/mol)", Conversions[Key], Conversions[Multiply By]))</f>
        <v>13.282377919320595</v>
      </c>
      <c r="J18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52.234397087170699</v>
      </c>
      <c r="K18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0.25757121439280362</v>
      </c>
      <c r="L18" s="62">
        <v>12</v>
      </c>
      <c r="M18" s="62">
        <v>11.8</v>
      </c>
      <c r="N18" s="62">
        <v>0.2</v>
      </c>
      <c r="O18" s="62">
        <v>0</v>
      </c>
      <c r="P18" s="62">
        <v>4</v>
      </c>
      <c r="Q18" s="62">
        <v>16</v>
      </c>
      <c r="R18" s="62">
        <v>7</v>
      </c>
      <c r="S18" s="62">
        <v>2</v>
      </c>
      <c r="T18" s="62">
        <v>0</v>
      </c>
      <c r="U18" s="62">
        <v>0.02</v>
      </c>
      <c r="V18" s="62">
        <v>0.02</v>
      </c>
      <c r="W18" s="62">
        <v>0.15</v>
      </c>
      <c r="X18" s="62">
        <v>0.05</v>
      </c>
      <c r="Y18" s="62">
        <v>1E-3</v>
      </c>
      <c r="Z18" s="62">
        <v>3.5000000000000003E-2</v>
      </c>
      <c r="AA18" s="62">
        <v>0</v>
      </c>
      <c r="AB18" s="62">
        <v>0</v>
      </c>
      <c r="AC18" s="62">
        <v>0</v>
      </c>
      <c r="AD18" s="62">
        <v>0</v>
      </c>
      <c r="AE18" s="62">
        <v>0</v>
      </c>
      <c r="AF18" s="62">
        <v>0</v>
      </c>
      <c r="AG18" s="62">
        <v>0</v>
      </c>
      <c r="AH18" s="62">
        <v>0</v>
      </c>
    </row>
    <row r="19" spans="1:34">
      <c r="A19" s="63" t="s">
        <v>239</v>
      </c>
      <c r="B19" s="63" t="s">
        <v>214</v>
      </c>
      <c r="C19" s="62" t="s">
        <v>240</v>
      </c>
      <c r="D19" s="63" t="s">
        <v>238</v>
      </c>
      <c r="E19" s="62" t="s">
        <v>238</v>
      </c>
      <c r="F19" s="63" t="s">
        <v>238</v>
      </c>
      <c r="G19" s="62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>9.9999999999999982</v>
      </c>
      <c r="H19" s="62">
        <f>IF(Fertilizers[[#This Row],[P₂O₅ (%)]]="", "", Fertilizers[[#This Row],[P₂O₅ (%)]] * _xlfn.XLOOKUP("P₂O₅ (g/mol) to P (g/mol)", Conversions[Key], Conversions[Multiply By]))</f>
        <v>2.1819078483866421</v>
      </c>
      <c r="I19" s="62">
        <f>IF(Fertilizers[[#This Row],[K₂O (%)]]="", "", Fertilizers[[#This Row],[K₂O (%)]] * _xlfn.XLOOKUP("K₂O (g/mol) to K (g/mol)", Conversions[Key], Conversions[Multiply By]))</f>
        <v>11.622080679405521</v>
      </c>
      <c r="J19" s="62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>37.626472478046686</v>
      </c>
      <c r="K19" s="62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>1.9317841079460272</v>
      </c>
      <c r="L19" s="62">
        <v>10</v>
      </c>
      <c r="M19" s="62">
        <v>8.5</v>
      </c>
      <c r="N19" s="62">
        <v>1.5</v>
      </c>
      <c r="O19" s="62">
        <v>0</v>
      </c>
      <c r="P19" s="62">
        <v>5</v>
      </c>
      <c r="Q19" s="62">
        <v>14</v>
      </c>
      <c r="R19" s="62">
        <v>6</v>
      </c>
      <c r="S19" s="62">
        <v>2</v>
      </c>
      <c r="T19" s="62">
        <v>3</v>
      </c>
      <c r="U19" s="62">
        <v>0</v>
      </c>
      <c r="V19" s="62">
        <v>0</v>
      </c>
      <c r="W19" s="62">
        <v>0.12</v>
      </c>
      <c r="X19" s="62">
        <v>0.05</v>
      </c>
      <c r="Y19" s="62">
        <v>0</v>
      </c>
      <c r="Z19" s="62">
        <v>0</v>
      </c>
      <c r="AA19" s="62">
        <v>0</v>
      </c>
      <c r="AB19" s="62">
        <v>0</v>
      </c>
      <c r="AC19" s="62">
        <v>0</v>
      </c>
      <c r="AD19" s="62">
        <v>0</v>
      </c>
      <c r="AE19" s="62">
        <v>0</v>
      </c>
      <c r="AF19" s="62">
        <v>0</v>
      </c>
      <c r="AG19" s="62">
        <v>0</v>
      </c>
      <c r="AH19" s="62">
        <v>0</v>
      </c>
    </row>
    <row r="20" spans="1:34">
      <c r="G20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H20" s="62" t="str">
        <f>IF(Fertilizers[[#This Row],[P₂O₅ (%)]]="", "", Fertilizers[[#This Row],[P₂O₅ (%)]] * _xlfn.XLOOKUP("P₂O₅ (g/mol) to P (g/mol)", Conversions[Key], Conversions[Multiply By]))</f>
        <v/>
      </c>
      <c r="I20" s="62" t="str">
        <f>IF(Fertilizers[[#This Row],[K₂O (%)]]="", "", Fertilizers[[#This Row],[K₂O (%)]] * _xlfn.XLOOKUP("K₂O (g/mol) to K (g/mol)", Conversions[Key], Conversions[Multiply By]))</f>
        <v/>
      </c>
      <c r="J20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K20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1" spans="1:34">
      <c r="G21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H21" s="62" t="str">
        <f>IF(Fertilizers[[#This Row],[P₂O₅ (%)]]="", "", Fertilizers[[#This Row],[P₂O₅ (%)]] * _xlfn.XLOOKUP("P₂O₅ (g/mol) to P (g/mol)", Conversions[Key], Conversions[Multiply By]))</f>
        <v/>
      </c>
      <c r="I21" s="62" t="str">
        <f>IF(Fertilizers[[#This Row],[K₂O (%)]]="", "", Fertilizers[[#This Row],[K₂O (%)]] * _xlfn.XLOOKUP("K₂O (g/mol) to K (g/mol)", Conversions[Key], Conversions[Multiply By]))</f>
        <v/>
      </c>
      <c r="J21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K21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2" spans="1:34">
      <c r="G22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H22" s="62" t="str">
        <f>IF(Fertilizers[[#This Row],[P₂O₅ (%)]]="", "", Fertilizers[[#This Row],[P₂O₅ (%)]] * _xlfn.XLOOKUP("P₂O₅ (g/mol) to P (g/mol)", Conversions[Key], Conversions[Multiply By]))</f>
        <v/>
      </c>
      <c r="I22" s="62" t="str">
        <f>IF(Fertilizers[[#This Row],[K₂O (%)]]="", "", Fertilizers[[#This Row],[K₂O (%)]] * _xlfn.XLOOKUP("K₂O (g/mol) to K (g/mol)", Conversions[Key], Conversions[Multiply By]))</f>
        <v/>
      </c>
      <c r="J22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K22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3" spans="1:34">
      <c r="G23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H23" s="62" t="str">
        <f>IF(Fertilizers[[#This Row],[P₂O₅ (%)]]="", "", Fertilizers[[#This Row],[P₂O₅ (%)]] * _xlfn.XLOOKUP("P₂O₅ (g/mol) to P (g/mol)", Conversions[Key], Conversions[Multiply By]))</f>
        <v/>
      </c>
      <c r="I23" s="62" t="str">
        <f>IF(Fertilizers[[#This Row],[K₂O (%)]]="", "", Fertilizers[[#This Row],[K₂O (%)]] * _xlfn.XLOOKUP("K₂O (g/mol) to K (g/mol)", Conversions[Key], Conversions[Multiply By]))</f>
        <v/>
      </c>
      <c r="J23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K23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  <row r="24" spans="1:34">
      <c r="G24" s="62" t="str">
        <f>IF(Fertilizers[[#This Row],[Total N (%)]]="", "", (Fertilizers[[#This Row],[NO₃ (%)]] * _xlfn.XLOOKUP("NO₃ (g/mol) to N (g/mol)", Conversions[Key], Conversions[Multiply By]) + Fertilizers[[#This Row],[C:NH₄ (%)]] * _xlfn.XLOOKUP("NH₄ (g/mol) to N (g/mol)", Conversions[Key], Conversions[Multiply By])))</f>
        <v/>
      </c>
      <c r="H24" s="62" t="str">
        <f>IF(Fertilizers[[#This Row],[P₂O₅ (%)]]="", "", Fertilizers[[#This Row],[P₂O₅ (%)]] * _xlfn.XLOOKUP("P₂O₅ (g/mol) to P (g/mol)", Conversions[Key], Conversions[Multiply By]))</f>
        <v/>
      </c>
      <c r="I24" s="62" t="str">
        <f>IF(Fertilizers[[#This Row],[K₂O (%)]]="", "", Fertilizers[[#This Row],[K₂O (%)]] * _xlfn.XLOOKUP("K₂O (g/mol) to K (g/mol)", Conversions[Key], Conversions[Multiply By]))</f>
        <v/>
      </c>
      <c r="J24" s="62" t="str">
        <f>IF(Fertilizers[[#This Row],[Total N (%)]]="", "", IF(Fertilizers[[#This Row],[Total N (%)]]=0, 0, Fertilizers[[#This Row],[Total N (%)]] * _xlfn.XLOOKUP("N (g/mol) to NO₃ (g/mol)", Conversions[Key], Conversions[Multiply By]) * (Fertilizers[[#This Row],[NO₃ (%/N)]] / Fertilizers[[#This Row],[Total N (%)]])))</f>
        <v/>
      </c>
      <c r="K24" s="62" t="str">
        <f>IF(Fertilizers[[#This Row],[Total N (%)]]="", "", IF(Fertilizers[[#This Row],[Total N (%)]]=0, 0, Fertilizers[[#This Row],[Total N (%)]] * _xlfn.XLOOKUP("N (g/mol) to NH₄ (g/mol)", Conversions[Key], Conversions[Multiply By]) * (Fertilizers[[#This Row],[NH₄ (%/N)]] / Fertilizers[[#This Row],[Total N (%)]])))</f>
        <v/>
      </c>
    </row>
  </sheetData>
  <conditionalFormatting sqref="A11:AX99999">
    <cfRule type="expression" dxfId="485" priority="4">
      <formula>AND(A11="", $A11&lt;&gt;"", A$10&lt;&gt;"")</formula>
    </cfRule>
  </conditionalFormatting>
  <conditionalFormatting sqref="A11:AX99999">
    <cfRule type="expression" dxfId="484" priority="3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1B08-6157-4477-95D3-E4BD5CA88C63}">
  <dimension ref="A1:AB16"/>
  <sheetViews>
    <sheetView topLeftCell="A5" workbookViewId="0">
      <selection activeCell="F14" sqref="F14"/>
    </sheetView>
  </sheetViews>
  <sheetFormatPr defaultColWidth="9.140625" defaultRowHeight="15"/>
  <cols>
    <col min="1" max="1" width="39" style="51" customWidth="1"/>
    <col min="2" max="2" width="107.140625" style="51" customWidth="1"/>
    <col min="3" max="3" width="7.28515625" style="51" bestFit="1" customWidth="1"/>
    <col min="4" max="4" width="10.85546875" style="51" bestFit="1" customWidth="1"/>
    <col min="5" max="6" width="11.140625" style="51" bestFit="1" customWidth="1"/>
    <col min="7" max="7" width="11.5703125" style="51" bestFit="1" customWidth="1"/>
    <col min="8" max="8" width="8.85546875" style="51" bestFit="1" customWidth="1"/>
    <col min="9" max="9" width="11.42578125" style="51" bestFit="1" customWidth="1"/>
    <col min="10" max="10" width="10.140625" style="51" bestFit="1" customWidth="1"/>
    <col min="11" max="11" width="8" style="51" bestFit="1" customWidth="1"/>
    <col min="12" max="12" width="11.42578125" style="51" bestFit="1" customWidth="1"/>
    <col min="13" max="13" width="6.28515625" style="51" bestFit="1" customWidth="1"/>
    <col min="14" max="14" width="5.42578125" style="51" bestFit="1" customWidth="1"/>
    <col min="15" max="15" width="11.28515625" style="51" bestFit="1" customWidth="1"/>
    <col min="16" max="16" width="5.5703125" style="51" bestFit="1" customWidth="1"/>
    <col min="17" max="17" width="6.42578125" style="51" bestFit="1" customWidth="1"/>
    <col min="18" max="18" width="7.42578125" style="51" bestFit="1" customWidth="1"/>
    <col min="19" max="19" width="12.85546875" style="51" bestFit="1" customWidth="1"/>
    <col min="20" max="20" width="6.42578125" style="51" bestFit="1" customWidth="1"/>
    <col min="21" max="21" width="8.42578125" style="51" bestFit="1" customWidth="1"/>
    <col min="22" max="22" width="7.85546875" style="51" bestFit="1" customWidth="1"/>
    <col min="23" max="23" width="6.5703125" style="51" bestFit="1" customWidth="1"/>
    <col min="24" max="24" width="9.140625" style="51" bestFit="1" customWidth="1"/>
    <col min="25" max="25" width="6.7109375" style="51" bestFit="1" customWidth="1"/>
    <col min="26" max="26" width="10.140625" style="51" bestFit="1" customWidth="1"/>
    <col min="27" max="27" width="7.7109375" style="51" bestFit="1" customWidth="1"/>
    <col min="28" max="28" width="94.85546875" style="51" customWidth="1"/>
    <col min="29" max="16384" width="9.140625" style="51"/>
  </cols>
  <sheetData>
    <row r="1" spans="1:28">
      <c r="C1" s="52"/>
    </row>
    <row r="9" spans="1:28">
      <c r="H9" s="51" t="s">
        <v>125</v>
      </c>
      <c r="I9" s="53" t="s">
        <v>128</v>
      </c>
      <c r="J9" s="51" t="s">
        <v>121</v>
      </c>
      <c r="K9" s="51" t="s">
        <v>115</v>
      </c>
      <c r="L9" s="51" t="s">
        <v>122</v>
      </c>
      <c r="M9" s="51" t="s">
        <v>129</v>
      </c>
      <c r="N9" s="51" t="s">
        <v>119</v>
      </c>
      <c r="O9" s="51" t="s">
        <v>123</v>
      </c>
      <c r="P9" s="51" t="s">
        <v>132</v>
      </c>
      <c r="Q9" s="51" t="s">
        <v>114</v>
      </c>
      <c r="R9" s="51" t="s">
        <v>118</v>
      </c>
      <c r="S9" s="51" t="s">
        <v>124</v>
      </c>
      <c r="T9" s="51" t="s">
        <v>127</v>
      </c>
      <c r="U9" s="51" t="s">
        <v>116</v>
      </c>
      <c r="V9" s="51" t="s">
        <v>241</v>
      </c>
      <c r="W9" s="51" t="s">
        <v>120</v>
      </c>
      <c r="X9" s="51" t="s">
        <v>130</v>
      </c>
      <c r="Y9" s="51" t="s">
        <v>117</v>
      </c>
      <c r="Z9" s="51" t="s">
        <v>110</v>
      </c>
      <c r="AA9" s="51" t="s">
        <v>126</v>
      </c>
    </row>
    <row r="10" spans="1:28">
      <c r="A10" s="51" t="s">
        <v>150</v>
      </c>
      <c r="B10" s="51" t="s">
        <v>242</v>
      </c>
      <c r="C10" s="51" t="s">
        <v>243</v>
      </c>
      <c r="D10" s="51" t="s">
        <v>8</v>
      </c>
      <c r="E10" s="51" t="s">
        <v>15</v>
      </c>
      <c r="F10" s="51" t="s">
        <v>23</v>
      </c>
      <c r="G10" s="51" t="s">
        <v>30</v>
      </c>
      <c r="H10" s="51" t="s">
        <v>11</v>
      </c>
      <c r="I10" s="51" t="s">
        <v>18</v>
      </c>
      <c r="J10" s="51" t="s">
        <v>26</v>
      </c>
      <c r="K10" s="51" t="s">
        <v>33</v>
      </c>
      <c r="L10" s="51" t="s">
        <v>39</v>
      </c>
      <c r="M10" s="51" t="s">
        <v>45</v>
      </c>
      <c r="N10" s="51" t="s">
        <v>57</v>
      </c>
      <c r="O10" s="51" t="s">
        <v>60</v>
      </c>
      <c r="P10" s="51" t="s">
        <v>66</v>
      </c>
      <c r="Q10" s="51" t="s">
        <v>49</v>
      </c>
      <c r="R10" s="51" t="s">
        <v>53</v>
      </c>
      <c r="S10" s="51" t="s">
        <v>63</v>
      </c>
      <c r="T10" s="51" t="s">
        <v>69</v>
      </c>
      <c r="U10" s="51" t="s">
        <v>72</v>
      </c>
      <c r="V10" s="51" t="s">
        <v>78</v>
      </c>
      <c r="W10" s="51" t="s">
        <v>84</v>
      </c>
      <c r="X10" s="51" t="s">
        <v>87</v>
      </c>
      <c r="Y10" s="51" t="s">
        <v>81</v>
      </c>
      <c r="Z10" s="51" t="s">
        <v>90</v>
      </c>
      <c r="AA10" s="51" t="s">
        <v>75</v>
      </c>
      <c r="AB10" s="51" t="s">
        <v>106</v>
      </c>
    </row>
    <row r="11" spans="1:28">
      <c r="A11" s="51" t="s">
        <v>244</v>
      </c>
      <c r="B11" s="51" t="s">
        <v>245</v>
      </c>
      <c r="C11" s="51" t="s">
        <v>12</v>
      </c>
      <c r="H11" s="51">
        <v>150</v>
      </c>
      <c r="I11" s="51">
        <v>31</v>
      </c>
      <c r="J11" s="51">
        <v>210</v>
      </c>
      <c r="K11" s="51">
        <v>90</v>
      </c>
      <c r="L11" s="51">
        <v>24</v>
      </c>
      <c r="N11" s="51">
        <v>1</v>
      </c>
      <c r="O11" s="51">
        <v>0.25</v>
      </c>
      <c r="P11" s="51">
        <v>0.13</v>
      </c>
      <c r="Q11" s="51">
        <v>0.16</v>
      </c>
      <c r="R11" s="51" t="s">
        <v>246</v>
      </c>
      <c r="S11" s="51" t="s">
        <v>247</v>
      </c>
    </row>
    <row r="15" spans="1:28"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X15" s="54"/>
      <c r="Y15" s="54"/>
      <c r="AA15" s="54"/>
    </row>
    <row r="16" spans="1:28"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V16" s="54"/>
    </row>
  </sheetData>
  <conditionalFormatting sqref="A11:AX99999">
    <cfRule type="expression" dxfId="447" priority="2">
      <formula>AND(A11="", $A11&lt;&gt;"", A$10&lt;&gt;"")</formula>
    </cfRule>
  </conditionalFormatting>
  <conditionalFormatting sqref="A11:AX99999">
    <cfRule type="expression" dxfId="446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6510-4139-40C0-97FE-5558892B13D6}">
  <dimension ref="A10:AI22"/>
  <sheetViews>
    <sheetView topLeftCell="A10" workbookViewId="0">
      <selection activeCell="AC26" sqref="AC26"/>
    </sheetView>
  </sheetViews>
  <sheetFormatPr defaultColWidth="9.140625" defaultRowHeight="15"/>
  <cols>
    <col min="1" max="1" width="17.42578125" style="48" bestFit="1" customWidth="1"/>
    <col min="2" max="2" width="28.140625" style="48" bestFit="1" customWidth="1"/>
    <col min="3" max="3" width="11.42578125" style="48" customWidth="1"/>
    <col min="4" max="4" width="9" style="48" customWidth="1"/>
    <col min="5" max="5" width="10.85546875" style="48" bestFit="1" customWidth="1"/>
    <col min="6" max="7" width="11.140625" style="48" bestFit="1" customWidth="1"/>
    <col min="8" max="8" width="11.5703125" style="48" bestFit="1" customWidth="1"/>
    <col min="9" max="9" width="4.85546875" style="48" bestFit="1" customWidth="1"/>
    <col min="10" max="11" width="4.5703125" style="48" bestFit="1" customWidth="1"/>
    <col min="12" max="12" width="5.5703125" style="48" bestFit="1" customWidth="1"/>
    <col min="13" max="13" width="6.28515625" style="48" bestFit="1" customWidth="1"/>
    <col min="14" max="14" width="4.42578125" style="48" bestFit="1" customWidth="1"/>
    <col min="15" max="15" width="5.42578125" style="48" bestFit="1" customWidth="1"/>
    <col min="16" max="16" width="6.42578125" style="48" bestFit="1" customWidth="1"/>
    <col min="17" max="17" width="5.5703125" style="48" customWidth="1"/>
    <col min="18" max="18" width="5.140625" style="48" bestFit="1" customWidth="1"/>
    <col min="19" max="19" width="6.140625" style="48" bestFit="1" customWidth="1"/>
    <col min="20" max="20" width="6.42578125" style="48" bestFit="1" customWidth="1"/>
    <col min="21" max="21" width="5.42578125" style="48" bestFit="1" customWidth="1"/>
    <col min="22" max="22" width="5.140625" style="48" bestFit="1" customWidth="1"/>
    <col min="23" max="23" width="5.85546875" style="48" bestFit="1" customWidth="1"/>
    <col min="24" max="24" width="5" style="48" bestFit="1" customWidth="1"/>
    <col min="25" max="25" width="5.7109375" style="48" bestFit="1" customWidth="1"/>
    <col min="26" max="26" width="4" style="48" bestFit="1" customWidth="1"/>
    <col min="27" max="27" width="5.5703125" style="48" bestFit="1" customWidth="1"/>
    <col min="28" max="28" width="5.28515625" style="48" bestFit="1" customWidth="1"/>
    <col min="29" max="29" width="8.7109375" style="48" bestFit="1" customWidth="1"/>
    <col min="30" max="30" width="2.7109375" style="48" bestFit="1" customWidth="1"/>
    <col min="31" max="31" width="17.42578125" style="48" bestFit="1" customWidth="1"/>
    <col min="32" max="32" width="11" style="48" bestFit="1" customWidth="1"/>
    <col min="33" max="33" width="11.85546875" style="48" bestFit="1" customWidth="1"/>
    <col min="34" max="34" width="27.85546875" style="48" customWidth="1"/>
    <col min="35" max="35" width="86.28515625" style="48" bestFit="1" customWidth="1"/>
    <col min="36" max="16384" width="9.140625" style="48"/>
  </cols>
  <sheetData>
    <row r="10" spans="1:35">
      <c r="A10" s="48" t="s">
        <v>248</v>
      </c>
      <c r="B10" s="48" t="s">
        <v>249</v>
      </c>
      <c r="C10" s="48" t="s">
        <v>250</v>
      </c>
      <c r="D10" s="48" t="s">
        <v>251</v>
      </c>
      <c r="E10" s="48" t="s">
        <v>8</v>
      </c>
      <c r="F10" s="48" t="s">
        <v>15</v>
      </c>
      <c r="G10" s="48" t="s">
        <v>23</v>
      </c>
      <c r="H10" s="48" t="s">
        <v>30</v>
      </c>
      <c r="I10" s="48" t="s">
        <v>11</v>
      </c>
      <c r="J10" s="48" t="s">
        <v>18</v>
      </c>
      <c r="K10" s="48" t="s">
        <v>26</v>
      </c>
      <c r="L10" s="48" t="s">
        <v>33</v>
      </c>
      <c r="M10" s="48" t="s">
        <v>39</v>
      </c>
      <c r="N10" s="48" t="s">
        <v>45</v>
      </c>
      <c r="O10" s="48" t="s">
        <v>57</v>
      </c>
      <c r="P10" s="48" t="s">
        <v>60</v>
      </c>
      <c r="Q10" s="48" t="s">
        <v>66</v>
      </c>
      <c r="R10" s="48" t="s">
        <v>49</v>
      </c>
      <c r="S10" s="48" t="s">
        <v>53</v>
      </c>
      <c r="T10" s="48" t="s">
        <v>63</v>
      </c>
      <c r="U10" s="48" t="s">
        <v>69</v>
      </c>
      <c r="V10" s="48" t="s">
        <v>72</v>
      </c>
      <c r="W10" s="48" t="s">
        <v>75</v>
      </c>
      <c r="X10" s="48" t="s">
        <v>78</v>
      </c>
      <c r="Y10" s="48" t="s">
        <v>81</v>
      </c>
      <c r="Z10" s="48" t="s">
        <v>84</v>
      </c>
      <c r="AA10" s="48" t="s">
        <v>87</v>
      </c>
      <c r="AB10" s="48" t="s">
        <v>90</v>
      </c>
      <c r="AC10" s="48" t="s">
        <v>106</v>
      </c>
      <c r="AE10" s="49" t="s">
        <v>248</v>
      </c>
      <c r="AF10" s="49" t="s">
        <v>252</v>
      </c>
      <c r="AG10" s="49" t="s">
        <v>253</v>
      </c>
      <c r="AH10" s="49" t="s">
        <v>106</v>
      </c>
      <c r="AI10" s="49" t="s">
        <v>242</v>
      </c>
    </row>
    <row r="11" spans="1:35">
      <c r="A11" s="48" t="s">
        <v>254</v>
      </c>
      <c r="B11" s="48" t="s">
        <v>244</v>
      </c>
      <c r="C11" s="48" t="s">
        <v>13</v>
      </c>
      <c r="D11" s="48" t="s">
        <v>153</v>
      </c>
      <c r="E11" s="47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>0.5</v>
      </c>
      <c r="F11" s="47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>1.5</v>
      </c>
      <c r="G11" s="47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>5.8</v>
      </c>
      <c r="H11" s="47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>6.2</v>
      </c>
      <c r="I11" s="47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>150</v>
      </c>
      <c r="J11" s="47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>31</v>
      </c>
      <c r="K11" s="47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>210</v>
      </c>
      <c r="L11" s="47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>90</v>
      </c>
      <c r="M11" s="47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>24</v>
      </c>
      <c r="N11" s="47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>32</v>
      </c>
      <c r="O11" s="47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>1</v>
      </c>
      <c r="P11" s="47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>0.25</v>
      </c>
      <c r="Q11" s="47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>0.13</v>
      </c>
      <c r="R11" s="47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>0.16</v>
      </c>
      <c r="S11" s="47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>2.3E-2</v>
      </c>
      <c r="T11" s="47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>2.4E-2</v>
      </c>
      <c r="U11" s="47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>0.03</v>
      </c>
      <c r="V11" s="47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>1.77</v>
      </c>
      <c r="W11" s="47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1" s="47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>28</v>
      </c>
      <c r="Y11" s="47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1" s="47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1" s="47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1" s="47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1" s="50" t="s">
        <v>254</v>
      </c>
      <c r="AF11" s="50" t="s">
        <v>72</v>
      </c>
      <c r="AG11" s="50">
        <v>1.77</v>
      </c>
      <c r="AH11" s="60" t="s">
        <v>238</v>
      </c>
      <c r="AI11" s="50" t="s">
        <v>255</v>
      </c>
    </row>
    <row r="12" spans="1:35">
      <c r="A12" s="48" t="s">
        <v>256</v>
      </c>
      <c r="B12" s="48" t="s">
        <v>244</v>
      </c>
      <c r="C12" s="48" t="s">
        <v>13</v>
      </c>
      <c r="D12" s="48" t="s">
        <v>153</v>
      </c>
      <c r="E12" s="47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2" s="47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2" s="47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2" s="47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2" s="47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>150</v>
      </c>
      <c r="J12" s="47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>31</v>
      </c>
      <c r="K12" s="47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>210</v>
      </c>
      <c r="L12" s="47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>90</v>
      </c>
      <c r="M12" s="47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>24</v>
      </c>
      <c r="N12" s="47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>32</v>
      </c>
      <c r="O12" s="47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>1</v>
      </c>
      <c r="P12" s="47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>0.25</v>
      </c>
      <c r="Q12" s="47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>0.13</v>
      </c>
      <c r="R12" s="47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>0.16</v>
      </c>
      <c r="S12" s="47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>2.3E-2</v>
      </c>
      <c r="T12" s="47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>2.4E-2</v>
      </c>
      <c r="U12" s="47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>0.03</v>
      </c>
      <c r="V12" s="47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>1.77</v>
      </c>
      <c r="W12" s="47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2" s="47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>28</v>
      </c>
      <c r="Y12" s="47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2" s="47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2" s="47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2" s="47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2" s="58" t="s">
        <v>254</v>
      </c>
      <c r="AF12" s="58" t="s">
        <v>15</v>
      </c>
      <c r="AG12" s="58">
        <v>1.5</v>
      </c>
      <c r="AH12" s="61" t="s">
        <v>238</v>
      </c>
      <c r="AI12" s="58" t="s">
        <v>257</v>
      </c>
    </row>
    <row r="13" spans="1:35">
      <c r="E13" s="47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3" s="47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3" s="47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3" s="47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3" s="47" t="str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/>
      </c>
      <c r="J13" s="47" t="str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/>
      </c>
      <c r="K13" s="47" t="str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/>
      </c>
      <c r="L13" s="47" t="str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/>
      </c>
      <c r="M13" s="47" t="str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/>
      </c>
      <c r="N13" s="47" t="str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/>
      </c>
      <c r="O13" s="47" t="str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/>
      </c>
      <c r="P13" s="47" t="str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/>
      </c>
      <c r="Q13" s="47" t="str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/>
      </c>
      <c r="R13" s="47" t="str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/>
      </c>
      <c r="S13" s="47" t="str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/>
      </c>
      <c r="T13" s="47" t="str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/>
      </c>
      <c r="U13" s="47" t="str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/>
      </c>
      <c r="V13" s="47" t="str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/>
      </c>
      <c r="W13" s="47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3" s="47" t="str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/>
      </c>
      <c r="Y13" s="47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3" s="47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3" s="47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3" s="47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3" s="58" t="s">
        <v>254</v>
      </c>
      <c r="AF13" s="58" t="s">
        <v>8</v>
      </c>
      <c r="AG13" s="58">
        <v>0.5</v>
      </c>
      <c r="AH13" s="58"/>
      <c r="AI13" s="59" t="s">
        <v>257</v>
      </c>
    </row>
    <row r="14" spans="1:35">
      <c r="E14" s="47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4" s="47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4" s="47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4" s="47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4" s="47" t="str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/>
      </c>
      <c r="J14" s="47" t="str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/>
      </c>
      <c r="K14" s="47" t="str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/>
      </c>
      <c r="L14" s="47" t="str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/>
      </c>
      <c r="M14" s="47" t="str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/>
      </c>
      <c r="N14" s="47" t="str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/>
      </c>
      <c r="O14" s="47" t="str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/>
      </c>
      <c r="P14" s="47" t="str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/>
      </c>
      <c r="Q14" s="47" t="str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/>
      </c>
      <c r="R14" s="47" t="str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/>
      </c>
      <c r="S14" s="47" t="str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/>
      </c>
      <c r="T14" s="47" t="str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/>
      </c>
      <c r="U14" s="47" t="str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/>
      </c>
      <c r="V14" s="47" t="str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/>
      </c>
      <c r="W14" s="47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4" s="47" t="str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/>
      </c>
      <c r="Y14" s="47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4" s="47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4" s="47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4" s="47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4" s="50" t="s">
        <v>254</v>
      </c>
      <c r="AF14" s="50" t="s">
        <v>69</v>
      </c>
      <c r="AG14" s="50">
        <v>0.03</v>
      </c>
      <c r="AH14" s="50"/>
      <c r="AI14" s="50" t="s">
        <v>255</v>
      </c>
    </row>
    <row r="15" spans="1:35">
      <c r="E15" s="47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5" s="47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5" s="47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5" s="47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5" s="47" t="str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/>
      </c>
      <c r="J15" s="47" t="str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/>
      </c>
      <c r="K15" s="47" t="str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/>
      </c>
      <c r="L15" s="47" t="str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/>
      </c>
      <c r="M15" s="47" t="str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/>
      </c>
      <c r="N15" s="47" t="str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/>
      </c>
      <c r="O15" s="47" t="str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/>
      </c>
      <c r="P15" s="47" t="str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/>
      </c>
      <c r="Q15" s="47" t="str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/>
      </c>
      <c r="R15" s="47" t="str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/>
      </c>
      <c r="S15" s="47" t="str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/>
      </c>
      <c r="T15" s="47" t="str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/>
      </c>
      <c r="U15" s="47" t="str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/>
      </c>
      <c r="V15" s="47" t="str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/>
      </c>
      <c r="W15" s="47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5" s="47" t="str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/>
      </c>
      <c r="Y15" s="47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5" s="47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5" s="47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5" s="47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5" s="58" t="s">
        <v>254</v>
      </c>
      <c r="AF15" s="58" t="s">
        <v>30</v>
      </c>
      <c r="AG15" s="58">
        <v>6.2</v>
      </c>
      <c r="AH15" s="58"/>
      <c r="AI15" s="58" t="s">
        <v>257</v>
      </c>
    </row>
    <row r="16" spans="1:35">
      <c r="E16" s="47" t="str">
        <f>IFERROR(IF(Nutrients[[#This Row],[Solution]]="","",IF(AND(_xlfn.XLOOKUP(Nutrients[[#This Row],[Solution]],Solutions[Name],Solutions[EC (min)],"")="",COUNTIFS(Adjustments[For],Nutrients[[#This Row],[For]],Adjustments[Nutrient],"EC (min)")=0),"",IFERROR(VALUE(_xlfn.XLOOKUP(Nutrients[[#This Row],[Solution]],Solutions[Name],Solutions[EC (min)],"")),0)+SUMIFS(Adjustments[Adjust By],Adjustments[For],Nutrients[[#This Row],[For]],Adjustments[Nutrient],"EC (min)"))),"")</f>
        <v/>
      </c>
      <c r="F16" s="47" t="str">
        <f>IFERROR(IF(Nutrients[[#This Row],[Solution]]="","",IF(AND(_xlfn.XLOOKUP(Nutrients[[#This Row],[Solution]],Solutions[Name],Solutions[EC (max)],"")="",COUNTIFS(Adjustments[For],Nutrients[[#This Row],[For]],Adjustments[Nutrient],"EC (max)")=0),"",IFERROR(VALUE(_xlfn.XLOOKUP(Nutrients[[#This Row],[Solution]],Solutions[Name],Solutions[EC (max)],"")),0)+SUMIFS(Adjustments[Adjust By],Adjustments[For],Nutrients[[#This Row],[For]],Adjustments[Nutrient],"EC (max)"))),"")</f>
        <v/>
      </c>
      <c r="G16" s="47" t="str">
        <f>IFERROR(IF(Nutrients[[#This Row],[Solution]]="","",IF(AND(_xlfn.XLOOKUP(Nutrients[[#This Row],[Solution]],Solutions[Name],Solutions[pH (min)],"")="",COUNTIFS(Adjustments[For],Nutrients[[#This Row],[For]],Adjustments[Nutrient],"pH (min)")=0),"",IFERROR(VALUE(_xlfn.XLOOKUP(Nutrients[[#This Row],[Solution]],Solutions[Name],Solutions[pH (min)],"")),0)+SUMIFS(Adjustments[Adjust By],Adjustments[For],Nutrients[[#This Row],[For]],Adjustments[Nutrient],"pH (min)"))),"")</f>
        <v/>
      </c>
      <c r="H16" s="47" t="str">
        <f>IFERROR(IF(Nutrients[[#This Row],[Solution]]="","",IF(AND(_xlfn.XLOOKUP(Nutrients[[#This Row],[Solution]],Solutions[Name],Solutions[pH (max)],"")="",COUNTIFS(Adjustments[For],Nutrients[[#This Row],[For]],Adjustments[Nutrient],"pH (max)")=0),"",IFERROR(VALUE(_xlfn.XLOOKUP(Nutrients[[#This Row],[Solution]],Solutions[Name],Solutions[pH (max)],"")),0)+SUMIFS(Adjustments[Adjust By],Adjustments[For],Nutrients[[#This Row],[For]],Adjustments[Nutrient],"pH (max)"))),"")</f>
        <v/>
      </c>
      <c r="I16" s="47" t="str">
        <f>IFERROR(IF(Nutrients[[#This Row],[Solution]]="","",IF(AND(_xlfn.XLOOKUP(Nutrients[[#This Row],[Solution]],Solutions[Name],Solutions[N],"")="",COUNTIFS(Adjustments[For],Nutrients[[#This Row],[For]],Adjustments[Nutrient],"N")=0),"",IFERROR(VALUE(_xlfn.XLOOKUP(Nutrients[[#This Row],[Solution]],Solutions[Name],Solutions[N],"")),0)+SUMIFS(Adjustments[Adjust By],Adjustments[For],Nutrients[[#This Row],[For]],Adjustments[Nutrient],"N"))),"")</f>
        <v/>
      </c>
      <c r="J16" s="47" t="str">
        <f>IFERROR(IF(Nutrients[[#This Row],[Solution]]="","",IF(AND(_xlfn.XLOOKUP(Nutrients[[#This Row],[Solution]],Solutions[Name],Solutions[P],"")="",COUNTIFS(Adjustments[For],Nutrients[[#This Row],[For]],Adjustments[Nutrient],"P")=0),"",IFERROR(VALUE(_xlfn.XLOOKUP(Nutrients[[#This Row],[Solution]],Solutions[Name],Solutions[P],"")),0)+SUMIFS(Adjustments[Adjust By],Adjustments[For],Nutrients[[#This Row],[For]],Adjustments[Nutrient],"P"))),"")</f>
        <v/>
      </c>
      <c r="K16" s="47" t="str">
        <f>IFERROR(IF(Nutrients[[#This Row],[Solution]]="","",IF(AND(_xlfn.XLOOKUP(Nutrients[[#This Row],[Solution]],Solutions[Name],Solutions[K],"")="",COUNTIFS(Adjustments[For],Nutrients[[#This Row],[For]],Adjustments[Nutrient],"K")=0),"",IFERROR(VALUE(_xlfn.XLOOKUP(Nutrients[[#This Row],[Solution]],Solutions[Name],Solutions[K],"")),0)+SUMIFS(Adjustments[Adjust By],Adjustments[For],Nutrients[[#This Row],[For]],Adjustments[Nutrient],"K"))),"")</f>
        <v/>
      </c>
      <c r="L16" s="47" t="str">
        <f>IFERROR(IF(Nutrients[[#This Row],[Solution]]="","",IF(AND(_xlfn.XLOOKUP(Nutrients[[#This Row],[Solution]],Solutions[Name],Solutions[Ca],"")="",COUNTIFS(Adjustments[For],Nutrients[[#This Row],[For]],Adjustments[Nutrient],"Ca")=0),"",IFERROR(VALUE(_xlfn.XLOOKUP(Nutrients[[#This Row],[Solution]],Solutions[Name],Solutions[Ca],"")),0)+SUMIFS(Adjustments[Adjust By],Adjustments[For],Nutrients[[#This Row],[For]],Adjustments[Nutrient],"Ca"))),"")</f>
        <v/>
      </c>
      <c r="M16" s="47" t="str">
        <f>IFERROR(IF(Nutrients[[#This Row],[Solution]]="","",IF(AND(_xlfn.XLOOKUP(Nutrients[[#This Row],[Solution]],Solutions[Name],Solutions[Mg],"")="",COUNTIFS(Adjustments[For],Nutrients[[#This Row],[For]],Adjustments[Nutrient],"Mg")=0),"",IFERROR(VALUE(_xlfn.XLOOKUP(Nutrients[[#This Row],[Solution]],Solutions[Name],Solutions[Mg],"")),0)+SUMIFS(Adjustments[Adjust By],Adjustments[For],Nutrients[[#This Row],[For]],Adjustments[Nutrient],"Mg"))),"")</f>
        <v/>
      </c>
      <c r="N16" s="47" t="str">
        <f>IFERROR(IF(Nutrients[[#This Row],[Solution]]="","",IF(AND(_xlfn.XLOOKUP(Nutrients[[#This Row],[Solution]],Solutions[Name],Solutions[S],"")="",COUNTIFS(Adjustments[For],Nutrients[[#This Row],[For]],Adjustments[Nutrient],"S")=0),"",IFERROR(VALUE(_xlfn.XLOOKUP(Nutrients[[#This Row],[Solution]],Solutions[Name],Solutions[S],"")),0)+SUMIFS(Adjustments[Adjust By],Adjustments[For],Nutrients[[#This Row],[For]],Adjustments[Nutrient],"S"))),"")</f>
        <v/>
      </c>
      <c r="O16" s="47" t="str">
        <f>IFERROR(IF(Nutrients[[#This Row],[Solution]]="","",IF(AND(_xlfn.XLOOKUP(Nutrients[[#This Row],[Solution]],Solutions[Name],Solutions[Fe],"")="",COUNTIFS(Adjustments[For],Nutrients[[#This Row],[For]],Adjustments[Nutrient],"Fe")=0),"",IFERROR(VALUE(_xlfn.XLOOKUP(Nutrients[[#This Row],[Solution]],Solutions[Name],Solutions[Fe],"")),0)+SUMIFS(Adjustments[Adjust By],Adjustments[For],Nutrients[[#This Row],[For]],Adjustments[Nutrient],"Fe"))),"")</f>
        <v/>
      </c>
      <c r="P16" s="47" t="str">
        <f>IFERROR(IF(Nutrients[[#This Row],[Solution]]="","",IF(AND(_xlfn.XLOOKUP(Nutrients[[#This Row],[Solution]],Solutions[Name],Solutions[Mn],"")="",COUNTIFS(Adjustments[For],Nutrients[[#This Row],[For]],Adjustments[Nutrient],"Mn")=0),"",IFERROR(VALUE(_xlfn.XLOOKUP(Nutrients[[#This Row],[Solution]],Solutions[Name],Solutions[Mn],"")),0)+SUMIFS(Adjustments[Adjust By],Adjustments[For],Nutrients[[#This Row],[For]],Adjustments[Nutrient],"Mn"))),"")</f>
        <v/>
      </c>
      <c r="Q16" s="47" t="str">
        <f>IFERROR(IF(Nutrients[[#This Row],[Solution]]="","",IF(AND(_xlfn.XLOOKUP(Nutrients[[#This Row],[Solution]],Solutions[Name],Solutions[Zn],"")="",COUNTIFS(Adjustments[For],Nutrients[[#This Row],[For]],Adjustments[Nutrient],"Zn")=0),"",IFERROR(VALUE(_xlfn.XLOOKUP(Nutrients[[#This Row],[Solution]],Solutions[Name],Solutions[Zn],"")),0)+SUMIFS(Adjustments[Adjust By],Adjustments[For],Nutrients[[#This Row],[For]],Adjustments[Nutrient],"Zn"))),"")</f>
        <v/>
      </c>
      <c r="R16" s="47" t="str">
        <f>IFERROR(IF(Nutrients[[#This Row],[Solution]]="","",IF(AND(_xlfn.XLOOKUP(Nutrients[[#This Row],[Solution]],Solutions[Name],Solutions[B],"")="",COUNTIFS(Adjustments[For],Nutrients[[#This Row],[For]],Adjustments[Nutrient],"B")=0),"",IFERROR(VALUE(_xlfn.XLOOKUP(Nutrients[[#This Row],[Solution]],Solutions[Name],Solutions[B],"")),0)+SUMIFS(Adjustments[Adjust By],Adjustments[For],Nutrients[[#This Row],[For]],Adjustments[Nutrient],"B"))),"")</f>
        <v/>
      </c>
      <c r="S16" s="47" t="str">
        <f>IFERROR(IF(Nutrients[[#This Row],[Solution]]="","",IF(AND(_xlfn.XLOOKUP(Nutrients[[#This Row],[Solution]],Solutions[Name],Solutions[Cu],"")="",COUNTIFS(Adjustments[For],Nutrients[[#This Row],[For]],Adjustments[Nutrient],"Cu")=0),"",IFERROR(VALUE(_xlfn.XLOOKUP(Nutrients[[#This Row],[Solution]],Solutions[Name],Solutions[Cu],"")),0)+SUMIFS(Adjustments[Adjust By],Adjustments[For],Nutrients[[#This Row],[For]],Adjustments[Nutrient],"Cu"))),"")</f>
        <v/>
      </c>
      <c r="T16" s="47" t="str">
        <f>IFERROR(IF(Nutrients[[#This Row],[Solution]]="","",IF(AND(_xlfn.XLOOKUP(Nutrients[[#This Row],[Solution]],Solutions[Name],Solutions[Mo],"")="",COUNTIFS(Adjustments[For],Nutrients[[#This Row],[For]],Adjustments[Nutrient],"Mo")=0),"",IFERROR(VALUE(_xlfn.XLOOKUP(Nutrients[[#This Row],[Solution]],Solutions[Name],Solutions[Mo],"")),0)+SUMIFS(Adjustments[Adjust By],Adjustments[For],Nutrients[[#This Row],[For]],Adjustments[Nutrient],"Mo"))),"")</f>
        <v/>
      </c>
      <c r="U16" s="47" t="str">
        <f>IFERROR(IF(Nutrients[[#This Row],[Solution]]="","",IF(AND(_xlfn.XLOOKUP(Nutrients[[#This Row],[Solution]],Solutions[Name],Solutions[Ni],"")="",COUNTIFS(Adjustments[For],Nutrients[[#This Row],[For]],Adjustments[Nutrient],"Ni")=0),"",IFERROR(VALUE(_xlfn.XLOOKUP(Nutrients[[#This Row],[Solution]],Solutions[Name],Solutions[Ni],"")),0)+SUMIFS(Adjustments[Adjust By],Adjustments[For],Nutrients[[#This Row],[For]],Adjustments[Nutrient],"Ni"))),"")</f>
        <v/>
      </c>
      <c r="V16" s="47" t="str">
        <f>IFERROR(IF(Nutrients[[#This Row],[Solution]]="","",IF(AND(_xlfn.XLOOKUP(Nutrients[[#This Row],[Solution]],Solutions[Name],Solutions[Cl],"")="",COUNTIFS(Adjustments[For],Nutrients[[#This Row],[For]],Adjustments[Nutrient],"Cl")=0),"",IFERROR(VALUE(_xlfn.XLOOKUP(Nutrients[[#This Row],[Solution]],Solutions[Name],Solutions[Cl],"")),0)+SUMIFS(Adjustments[Adjust By],Adjustments[For],Nutrients[[#This Row],[For]],Adjustments[Nutrient],"Cl"))),"")</f>
        <v/>
      </c>
      <c r="W16" s="47" t="str">
        <f>IFERROR(IF(Nutrients[[#This Row],[Solution]]="","",IF(AND(_xlfn.XLOOKUP(Nutrients[[#This Row],[Solution]],Solutions[Name],Solutions[Na],"")="",COUNTIFS(Adjustments[For],Nutrients[[#This Row],[For]],Adjustments[Nutrient],"Na")=0),"",IFERROR(VALUE(_xlfn.XLOOKUP(Nutrients[[#This Row],[Solution]],Solutions[Name],Solutions[Na],"")),0)+SUMIFS(Adjustments[Adjust By],Adjustments[For],Nutrients[[#This Row],[For]],Adjustments[Nutrient],"Na"))),"")</f>
        <v/>
      </c>
      <c r="X16" s="47" t="str">
        <f>IFERROR(IF(Nutrients[[#This Row],[Solution]]="","",IF(AND(_xlfn.XLOOKUP(Nutrients[[#This Row],[Solution]],Solutions[Name],Solutions[Si],"")="",COUNTIFS(Adjustments[For],Nutrients[[#This Row],[For]],Adjustments[Nutrient],"Si")=0),"",IFERROR(VALUE(_xlfn.XLOOKUP(Nutrients[[#This Row],[Solution]],Solutions[Name],Solutions[Si],"")),0)+SUMIFS(Adjustments[Adjust By],Adjustments[For],Nutrients[[#This Row],[For]],Adjustments[Nutrient],"Si"))),"")</f>
        <v/>
      </c>
      <c r="Y16" s="47" t="str">
        <f>IFERROR(IF(Nutrients[[#This Row],[Solution]]="","",IF(AND(_xlfn.XLOOKUP(Nutrients[[#This Row],[Solution]],Solutions[Name],Solutions[Co],"")="",COUNTIFS(Adjustments[For],Nutrients[[#This Row],[For]],Adjustments[Nutrient],"Co")=0),"",IFERROR(VALUE(_xlfn.XLOOKUP(Nutrients[[#This Row],[Solution]],Solutions[Name],Solutions[Co],"")),0)+SUMIFS(Adjustments[Adjust By],Adjustments[For],Nutrients[[#This Row],[For]],Adjustments[Nutrient],"Co"))),"")</f>
        <v/>
      </c>
      <c r="Z16" s="47" t="str">
        <f>IFERROR(IF(Nutrients[[#This Row],[Solution]]="","",IF(AND(_xlfn.XLOOKUP(Nutrients[[#This Row],[Solution]],Solutions[Name],Solutions[I],"")="",COUNTIFS(Adjustments[For],Nutrients[[#This Row],[For]],Adjustments[Nutrient],"I")=0),"",IFERROR(VALUE(_xlfn.XLOOKUP(Nutrients[[#This Row],[Solution]],Solutions[Name],Solutions[I],"")),0)+SUMIFS(Adjustments[Adjust By],Adjustments[For],Nutrients[[#This Row],[For]],Adjustments[Nutrient],"I"))),"")</f>
        <v/>
      </c>
      <c r="AA16" s="47" t="str">
        <f>IFERROR(IF(Nutrients[[#This Row],[Solution]]="","",IF(AND(_xlfn.XLOOKUP(Nutrients[[#This Row],[Solution]],Solutions[Name],Solutions[Se],"")="",COUNTIFS(Adjustments[For],Nutrients[[#This Row],[For]],Adjustments[Nutrient],"Se")=0),"",IFERROR(VALUE(_xlfn.XLOOKUP(Nutrients[[#This Row],[Solution]],Solutions[Name],Solutions[Se],"")),0)+SUMIFS(Adjustments[Adjust By],Adjustments[For],Nutrients[[#This Row],[For]],Adjustments[Nutrient],"Se"))),"")</f>
        <v/>
      </c>
      <c r="AB16" s="47" t="str">
        <f>IFERROR(IF(Nutrients[[#This Row],[Solution]]="","",IF(AND(_xlfn.XLOOKUP(Nutrients[[#This Row],[Solution]],Solutions[Name],Solutions[Al],"")="",COUNTIFS(Adjustments[For],Nutrients[[#This Row],[For]],Adjustments[Nutrient],"Al")=0),"",IFERROR(VALUE(_xlfn.XLOOKUP(Nutrients[[#This Row],[Solution]],Solutions[Name],Solutions[Al],"")),0)+SUMIFS(Adjustments[Adjust By],Adjustments[For],Nutrients[[#This Row],[For]],Adjustments[Nutrient],"Al"))),"")</f>
        <v/>
      </c>
      <c r="AE16" s="58" t="s">
        <v>254</v>
      </c>
      <c r="AF16" s="58" t="s">
        <v>23</v>
      </c>
      <c r="AG16" s="58">
        <v>5.8</v>
      </c>
      <c r="AH16" s="58"/>
      <c r="AI16" s="58" t="s">
        <v>257</v>
      </c>
    </row>
    <row r="17" spans="31:35">
      <c r="AE17" s="50" t="s">
        <v>254</v>
      </c>
      <c r="AF17" s="50" t="s">
        <v>45</v>
      </c>
      <c r="AG17" s="50">
        <v>32</v>
      </c>
      <c r="AH17" s="50"/>
      <c r="AI17" s="50" t="s">
        <v>255</v>
      </c>
    </row>
    <row r="18" spans="31:35">
      <c r="AE18" s="50" t="s">
        <v>254</v>
      </c>
      <c r="AF18" s="50" t="s">
        <v>78</v>
      </c>
      <c r="AG18" s="50">
        <v>28</v>
      </c>
      <c r="AH18" s="50"/>
      <c r="AI18" s="50" t="s">
        <v>255</v>
      </c>
    </row>
    <row r="19" spans="31:35">
      <c r="AE19" s="46" t="s">
        <v>256</v>
      </c>
      <c r="AF19" s="46" t="s">
        <v>72</v>
      </c>
      <c r="AG19" s="46">
        <v>1.77</v>
      </c>
      <c r="AH19" s="46"/>
      <c r="AI19" s="46" t="s">
        <v>255</v>
      </c>
    </row>
    <row r="20" spans="31:35">
      <c r="AE20" s="46" t="s">
        <v>256</v>
      </c>
      <c r="AF20" s="46" t="s">
        <v>69</v>
      </c>
      <c r="AG20" s="46">
        <v>0.03</v>
      </c>
      <c r="AH20" s="46"/>
      <c r="AI20" s="46" t="s">
        <v>255</v>
      </c>
    </row>
    <row r="21" spans="31:35">
      <c r="AE21" s="46" t="s">
        <v>256</v>
      </c>
      <c r="AF21" s="46" t="s">
        <v>45</v>
      </c>
      <c r="AG21" s="46">
        <v>32</v>
      </c>
      <c r="AH21" s="46"/>
      <c r="AI21" s="46" t="s">
        <v>255</v>
      </c>
    </row>
    <row r="22" spans="31:35">
      <c r="AE22" s="46" t="s">
        <v>256</v>
      </c>
      <c r="AF22" s="46" t="s">
        <v>78</v>
      </c>
      <c r="AG22" s="46">
        <v>28</v>
      </c>
      <c r="AH22" s="46"/>
      <c r="AI22" s="46" t="s">
        <v>255</v>
      </c>
    </row>
  </sheetData>
  <conditionalFormatting sqref="A11:AY18 A20:AY99999 A19:AH19 AJ19:AY19">
    <cfRule type="expression" dxfId="415" priority="2">
      <formula>AND(A11="", $A11&lt;&gt;"", A$10&lt;&gt;"")</formula>
    </cfRule>
  </conditionalFormatting>
  <conditionalFormatting sqref="A11:AY18 A20:AY99999 A19:AH19 AJ19:AY19">
    <cfRule type="expression" dxfId="414" priority="1">
      <formula>_xlfn.ISFORMULA(A11)</formula>
    </cfRule>
  </conditionalFormatting>
  <conditionalFormatting sqref="AD14:AD18 AD20:AI999999 AD19:AH19">
    <cfRule type="expression" dxfId="413" priority="331">
      <formula>AND(AD14="", $A12&lt;&gt;"", AD$10&lt;&gt;"")</formula>
    </cfRule>
  </conditionalFormatting>
  <conditionalFormatting sqref="AD12:AD13">
    <cfRule type="expression" dxfId="412" priority="332">
      <formula>AND(AD12="", #REF!&lt;&gt;"", AD$10&lt;&gt;"")</formula>
    </cfRule>
  </conditionalFormatting>
  <dataValidations count="5">
    <dataValidation type="list" allowBlank="1" showInputMessage="1" showErrorMessage="1" sqref="B11:B16" xr:uid="{63F98F75-E47C-417C-8D5C-25F66252659C}">
      <formula1>Solution_Names</formula1>
    </dataValidation>
    <dataValidation type="list" allowBlank="1" showInputMessage="1" showErrorMessage="1" sqref="AE11:AE36" xr:uid="{8B46A487-0037-4DFC-991C-3C6AD71E48A0}">
      <formula1>Seeds\Scientific_Name</formula1>
    </dataValidation>
    <dataValidation type="list" allowBlank="1" showInputMessage="1" showErrorMessage="1" sqref="AF11:AF36" xr:uid="{D3087E80-AF17-448B-9AE2-C831A3474A96}">
      <formula1>List\Solutions</formula1>
    </dataValidation>
    <dataValidation type="list" allowBlank="1" showInputMessage="1" showErrorMessage="1" sqref="A11:A16" xr:uid="{2A0BD311-8B9D-4F02-B7F9-EA72108C3F21}">
      <formula1>Calc_Crops</formula1>
    </dataValidation>
    <dataValidation allowBlank="1" showInputMessage="1" showErrorMessage="1" sqref="C11:C16" xr:uid="{30A42EFC-C783-4F25-87B4-D7DCBDE8613B}"/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E6FB-8087-4AC7-9730-8CD50F5AC2F4}">
  <dimension ref="A1:Y33"/>
  <sheetViews>
    <sheetView workbookViewId="0">
      <selection activeCell="I19" sqref="I19"/>
    </sheetView>
  </sheetViews>
  <sheetFormatPr defaultRowHeight="15"/>
  <cols>
    <col min="1" max="1" width="29.5703125" style="55" customWidth="1"/>
    <col min="2" max="2" width="16.28515625" style="55" customWidth="1"/>
    <col min="3" max="3" width="15.5703125" style="55" customWidth="1"/>
    <col min="4" max="4" width="11.85546875" style="55" customWidth="1"/>
    <col min="5" max="5" width="13.5703125" style="55" customWidth="1"/>
    <col min="6" max="6" width="15.140625" style="55" customWidth="1"/>
    <col min="7" max="7" width="12.42578125" style="55" customWidth="1"/>
    <col min="8" max="9" width="11.42578125" style="55" bestFit="1" customWidth="1"/>
    <col min="10" max="25" width="12.42578125" style="55" bestFit="1" customWidth="1"/>
    <col min="26" max="26" width="9.140625" style="55"/>
    <col min="27" max="27" width="11.42578125" style="55" bestFit="1" customWidth="1"/>
    <col min="28" max="16384" width="9.140625" style="55"/>
  </cols>
  <sheetData>
    <row r="1" spans="1:7">
      <c r="A1" s="55" t="s">
        <v>258</v>
      </c>
    </row>
    <row r="2" spans="1:7">
      <c r="A2" s="55" t="s">
        <v>259</v>
      </c>
    </row>
    <row r="4" spans="1:7">
      <c r="A4" s="55" t="s">
        <v>260</v>
      </c>
    </row>
    <row r="5" spans="1:7">
      <c r="A5" s="55" t="s">
        <v>261</v>
      </c>
    </row>
    <row r="6" spans="1:7">
      <c r="A6" s="55" t="s">
        <v>262</v>
      </c>
    </row>
    <row r="10" spans="1:7">
      <c r="A10" s="55" t="s">
        <v>263</v>
      </c>
      <c r="B10" s="55" t="s">
        <v>169</v>
      </c>
      <c r="C10" s="55" t="s">
        <v>264</v>
      </c>
      <c r="D10" s="55" t="s">
        <v>23</v>
      </c>
      <c r="E10" s="55" t="s">
        <v>30</v>
      </c>
      <c r="F10" s="55" t="s">
        <v>8</v>
      </c>
      <c r="G10" s="55" t="s">
        <v>15</v>
      </c>
    </row>
    <row r="11" spans="1:7">
      <c r="A11" s="55" t="s">
        <v>254</v>
      </c>
      <c r="B11" s="55">
        <v>1700</v>
      </c>
      <c r="C11" s="55">
        <f>Recipes_Crop[Volume (mL)] / 1000</f>
        <v>1.7</v>
      </c>
      <c r="D11" s="55">
        <f>IF(Recipes_Crop[[#This Row],[Crop]]="","",_xlfn.LET(_xlpm.x,_xlfn.XLOOKUP(Recipes_Crop[[#This Row],[Crop]],Nutrients[For],Nutrients[pH (min)],""),IF(ISNUMBER(_xlpm.x),_xlpm.x,"")))</f>
        <v>5.8</v>
      </c>
      <c r="E11" s="55">
        <f>IF(Recipes_Crop[[#This Row],[Crop]]="","",_xlfn.LET(_xlpm.x,_xlfn.XLOOKUP(Recipes_Crop[[#This Row],[Crop]],Nutrients[For],Nutrients[pH (max)],""),IF(ISNUMBER(_xlpm.x),_xlpm.x,"")))</f>
        <v>6.2</v>
      </c>
      <c r="F11" s="55">
        <f>IF(Recipes_Crop[[#This Row],[Crop]]="","",_xlfn.LET(_xlpm.x,_xlfn.XLOOKUP(Recipes_Crop[[#This Row],[Crop]],Nutrients[For],Nutrients[EC (min)],""),IF(ISNUMBER(_xlpm.x),_xlpm.x,"")))</f>
        <v>0.5</v>
      </c>
      <c r="G11" s="55">
        <f>IF(Recipes_Crop[[#This Row],[Crop]]="","",_xlfn.LET(_xlpm.x,_xlfn.XLOOKUP(Recipes_Crop[[#This Row],[Crop]],Nutrients[For],Nutrients[EC (max)],""),IF(ISNUMBER(_xlpm.x),_xlpm.x,"")))</f>
        <v>1.5</v>
      </c>
    </row>
    <row r="13" spans="1:7">
      <c r="A13" s="56"/>
      <c r="B13" s="56"/>
    </row>
    <row r="14" spans="1:7">
      <c r="A14" t="s">
        <v>265</v>
      </c>
      <c r="B14" s="56"/>
    </row>
    <row r="15" spans="1:7">
      <c r="A15" s="55" t="s">
        <v>200</v>
      </c>
      <c r="B15" s="55" t="s">
        <v>252</v>
      </c>
      <c r="C15" s="55" t="s">
        <v>266</v>
      </c>
      <c r="D15" s="55" t="s">
        <v>251</v>
      </c>
      <c r="E15" s="55" t="s">
        <v>267</v>
      </c>
      <c r="F15" s="55" t="s">
        <v>268</v>
      </c>
    </row>
    <row r="16" spans="1:7">
      <c r="A16" s="55" t="s">
        <v>236</v>
      </c>
      <c r="B16" s="55" t="s">
        <v>9</v>
      </c>
      <c r="C16" s="55">
        <v>150</v>
      </c>
      <c r="D16" s="55">
        <v>1</v>
      </c>
      <c r="E16" s="57" cm="1">
        <f t="array" ref="E16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2.125</v>
      </c>
      <c r="F16" s="55" cm="1">
        <f t="array" ref="F16">IF(Recipe_Input[[#This Row],[Amount (g)]]="", "", IF(Recipe_Input[[#This Row],[Amount (g)]]=0, 0, _xlfn.LET(_xlpm.x,
    Recipe_Input[[#This Row],[Amount (g)]]/Recipes_Crop[Volume (L)],
ROUND(_xlpm.x, 4-INT(LOG10(ABS(_xlpm.x)))-1))))</f>
        <v>1.25</v>
      </c>
    </row>
    <row r="17" spans="1:25">
      <c r="A17" s="55" t="s">
        <v>233</v>
      </c>
      <c r="B17" s="55" t="s">
        <v>43</v>
      </c>
      <c r="C17" s="55">
        <v>25</v>
      </c>
      <c r="D17" s="55">
        <v>1</v>
      </c>
      <c r="E17" s="57" cm="1">
        <f t="array" ref="E17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0.32669999999999999</v>
      </c>
      <c r="F17" s="55" cm="1">
        <f t="array" ref="F17">IF(Recipe_Input[[#This Row],[Amount (g)]]="", "", IF(Recipe_Input[[#This Row],[Amount (g)]]=0, 0, _xlfn.LET(_xlpm.x,
    Recipe_Input[[#This Row],[Amount (g)]]/Recipes_Crop[Volume (L)],
ROUND(_xlpm.x, 4-INT(LOG10(ABS(_xlpm.x)))-1))))</f>
        <v>0.19220000000000001</v>
      </c>
    </row>
    <row r="18" spans="1:25">
      <c r="A18" s="55" t="s">
        <v>229</v>
      </c>
      <c r="B18" s="55" t="s">
        <v>9</v>
      </c>
      <c r="C18" s="55">
        <v>15</v>
      </c>
      <c r="D18" s="55">
        <v>0</v>
      </c>
      <c r="E18" s="57" cm="1">
        <f t="array" ref="E18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18" s="55" cm="1">
        <f t="array" ref="F18">IF(Recipe_Input[[#This Row],[Amount (g)]]="", "", IF(Recipe_Input[[#This Row],[Amount (g)]]=0, 0, _xlfn.LET(_xlpm.x,
    Recipe_Input[[#This Row],[Amount (g)]]/Recipes_Crop[Volume (L)],
ROUND(_xlpm.x, 4-INT(LOG10(ABS(_xlpm.x)))-1))))</f>
        <v>0</v>
      </c>
    </row>
    <row r="19" spans="1:25">
      <c r="A19" s="55" t="s">
        <v>217</v>
      </c>
      <c r="B19" s="55" t="s">
        <v>70</v>
      </c>
      <c r="C19" s="55">
        <v>1.5</v>
      </c>
      <c r="D19" s="55">
        <v>0</v>
      </c>
      <c r="E19" s="57" cm="1">
        <f t="array" ref="E19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19" s="55" cm="1">
        <f t="array" ref="F19">IF(Recipe_Input[[#This Row],[Amount (g)]]="", "", IF(Recipe_Input[[#This Row],[Amount (g)]]=0, 0, _xlfn.LET(_xlpm.x,
    Recipe_Input[[#This Row],[Amount (g)]]/Recipes_Crop[Volume (L)],
ROUND(_xlpm.x, 4-INT(LOG10(ABS(_xlpm.x)))-1))))</f>
        <v>0</v>
      </c>
    </row>
    <row r="20" spans="1:25">
      <c r="A20" s="55" t="s">
        <v>223</v>
      </c>
      <c r="B20" s="55" t="s">
        <v>43</v>
      </c>
      <c r="C20" s="55">
        <v>20</v>
      </c>
      <c r="D20" s="55">
        <v>0</v>
      </c>
      <c r="E20" s="57" cm="1">
        <f t="array" ref="E20">IF(OR(Recipe_Input[[#This Row],[Fertilizer]]="", Recipe_Input[[#This Row],[Nutrient]]="", Recipe_Input[[#This Row],[Target PPM]]=""), "", IF(OR(Recipe_Input[[#This Row],[Target PPM]]=0, Recipe_Input[[#This Row],[Active]]=0), 0, _xlfn.LET(_xlpm.x,
   Recipe_Input[[#This Row],[Target PPM]]
   /_xlfn.XLOOKUP(
      Recipe_Input[[#This Row],[Fertilizer]],
      Fertilizers[Fertilizer],
      _xlfn.XLOOKUP(Recipe_Input[[#This Row],[Nutrient]],Fertilizers[#Headers],Fertilizers[#Data])
   )
   /10
   *Recipes_Crop[Volume (L)],
ROUND(_xlpm.x, 4-INT(LOG10(ABS(_xlpm.x)))-1))))</f>
        <v>0</v>
      </c>
      <c r="F20" s="55" cm="1">
        <f t="array" ref="F20">IF(Recipe_Input[[#This Row],[Amount (g)]]="", "", IF(Recipe_Input[[#This Row],[Amount (g)]]=0, 0, _xlfn.LET(_xlpm.x,
    Recipe_Input[[#This Row],[Amount (g)]]/Recipes_Crop[Volume (L)],
ROUND(_xlpm.x, 4-INT(LOG10(ABS(_xlpm.x)))-1))))</f>
        <v>0</v>
      </c>
    </row>
    <row r="22" spans="1:25">
      <c r="A22" s="56"/>
      <c r="B22" s="56"/>
    </row>
    <row r="23" spans="1:25">
      <c r="A23" s="56"/>
      <c r="B23" s="56" t="s">
        <v>125</v>
      </c>
      <c r="F23" s="55" t="s">
        <v>128</v>
      </c>
      <c r="G23" s="55" t="s">
        <v>121</v>
      </c>
      <c r="H23" s="55" t="s">
        <v>115</v>
      </c>
      <c r="I23" s="55" t="s">
        <v>122</v>
      </c>
      <c r="J23" s="55" t="s">
        <v>129</v>
      </c>
      <c r="K23" s="55" t="s">
        <v>114</v>
      </c>
      <c r="L23" s="55" t="s">
        <v>118</v>
      </c>
      <c r="M23" s="55" t="s">
        <v>119</v>
      </c>
      <c r="N23" s="55" t="s">
        <v>123</v>
      </c>
      <c r="O23" s="55" t="s">
        <v>124</v>
      </c>
      <c r="P23" s="55" t="s">
        <v>132</v>
      </c>
      <c r="Q23" s="55" t="s">
        <v>116</v>
      </c>
      <c r="R23" s="55" t="s">
        <v>241</v>
      </c>
      <c r="S23" s="55" t="s">
        <v>127</v>
      </c>
      <c r="T23" s="55" t="s">
        <v>126</v>
      </c>
      <c r="U23" s="55" t="s">
        <v>269</v>
      </c>
      <c r="V23" s="55" t="s">
        <v>120</v>
      </c>
      <c r="W23" s="55" t="s">
        <v>130</v>
      </c>
      <c r="X23" s="55" t="s">
        <v>110</v>
      </c>
    </row>
    <row r="24" spans="1:25">
      <c r="A24" s="55" t="s">
        <v>270</v>
      </c>
      <c r="B24" s="55" t="s">
        <v>271</v>
      </c>
      <c r="C24" s="55" t="s">
        <v>272</v>
      </c>
      <c r="D24" s="55" t="s">
        <v>273</v>
      </c>
      <c r="E24" s="55" t="s">
        <v>197</v>
      </c>
      <c r="F24" s="55" t="s">
        <v>18</v>
      </c>
      <c r="G24" s="55" t="s">
        <v>26</v>
      </c>
      <c r="H24" s="55" t="s">
        <v>33</v>
      </c>
      <c r="I24" s="55" t="s">
        <v>39</v>
      </c>
      <c r="J24" s="55" t="s">
        <v>45</v>
      </c>
      <c r="K24" s="55" t="s">
        <v>49</v>
      </c>
      <c r="L24" s="55" t="s">
        <v>53</v>
      </c>
      <c r="M24" s="55" t="s">
        <v>57</v>
      </c>
      <c r="N24" s="55" t="s">
        <v>60</v>
      </c>
      <c r="O24" s="55" t="s">
        <v>63</v>
      </c>
      <c r="P24" s="55" t="s">
        <v>66</v>
      </c>
      <c r="Q24" s="55" t="s">
        <v>72</v>
      </c>
      <c r="R24" s="55" t="s">
        <v>78</v>
      </c>
      <c r="S24" s="55" t="s">
        <v>69</v>
      </c>
      <c r="T24" s="55" t="s">
        <v>75</v>
      </c>
      <c r="U24" s="55" t="s">
        <v>81</v>
      </c>
      <c r="V24" s="55" t="s">
        <v>84</v>
      </c>
      <c r="W24" s="55" t="s">
        <v>87</v>
      </c>
      <c r="X24" s="55" t="s">
        <v>90</v>
      </c>
      <c r="Y24" s="55" t="s">
        <v>274</v>
      </c>
    </row>
    <row r="25" spans="1:25">
      <c r="A25" s="55" t="str" cm="1">
        <f t="array" ref="A25">_xlfn.LET(_xlpm.idx, ROW()-ROW(Recipe_Calc[#Headers]), _xlpm.fertilizer, INDEX(Recipe_Input[Fertilizer], _xlpm.idx), _xlpm.grams, INDEX(Recipe_Input[Amount (g)], _xlpm.idx), IF(_xlpm.fertilizer="", "", IF(_xlpm.grams=0, "", _xlpm.fertilizer)))</f>
        <v>12-4-16</v>
      </c>
      <c r="B25" s="55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150</v>
      </c>
      <c r="C25" s="55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2.5</v>
      </c>
      <c r="D25" s="55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147.50000000000003</v>
      </c>
      <c r="E25" s="55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25" s="55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21.819078483866424</v>
      </c>
      <c r="G25" s="57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166.02972399150744</v>
      </c>
      <c r="H25" s="55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87.5</v>
      </c>
      <c r="I25" s="55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25</v>
      </c>
      <c r="J25" s="55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25" s="55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0.25000000000000006</v>
      </c>
      <c r="L25" s="55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0.25000000000000006</v>
      </c>
      <c r="M25" s="55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1.875</v>
      </c>
      <c r="N25" s="55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0.625</v>
      </c>
      <c r="O25" s="55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1.2500000000000001E-2</v>
      </c>
      <c r="P25" s="55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0.43750000000000011</v>
      </c>
      <c r="Q25" s="55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25" s="55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5" s="55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5" s="55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5" s="55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5" s="55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5" s="55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5" s="55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26" spans="1:25">
      <c r="A26" s="55" t="str" cm="1">
        <f t="array" ref="A26">_xlfn.LET(_xlpm.idx, ROW()-ROW(Recipe_Calc[#Headers]), _xlpm.fertilizer, INDEX(Recipe_Input[Fertilizer], _xlpm.idx), _xlpm.grams, INDEX(Recipe_Input[Amount (g)], _xlpm.idx), IF(_xlpm.fertilizer="", "", IF(_xlpm.grams=0, "", _xlpm.fertilizer)))</f>
        <v>Epsom Salt</v>
      </c>
      <c r="B26" s="55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26" s="55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26" s="55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26" s="55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26" s="55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26" s="55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26" s="55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26" s="55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18.948600000000003</v>
      </c>
      <c r="J26" s="55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25.002158823529413</v>
      </c>
      <c r="K26" s="55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26" s="55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26" s="55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26" s="55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26" s="55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26" s="55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26" s="55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26" s="55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6" s="55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6" s="55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6" s="55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6" s="55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6" s="55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6" s="55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27" spans="1:25">
      <c r="A27" s="55" t="str" cm="1">
        <f t="array" ref="A27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27" s="55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27" s="55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27" s="55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27" s="55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27" s="55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27" s="55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27" s="55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27" s="55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27" s="55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27" s="55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27" s="55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27" s="55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27" s="55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27" s="55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27" s="55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27" s="55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27" s="55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7" s="55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7" s="55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7" s="55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7" s="55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7" s="55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7" s="55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28" spans="1:25">
      <c r="A28" s="55" t="str" cm="1">
        <f t="array" ref="A28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28" s="55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28" s="55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28" s="55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28" s="55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28" s="55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28" s="55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28" s="55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28" s="55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28" s="55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28" s="55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28" s="55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28" s="55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28" s="55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28" s="55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28" s="55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28" s="55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28" s="55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8" s="55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8" s="55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8" s="55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8" s="55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8" s="55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8" s="55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29" spans="1:25">
      <c r="A29" s="55" t="str" cm="1">
        <f t="array" ref="A29">_xlfn.LET(_xlpm.idx, ROW()-ROW(Recipe_Calc[#Headers]), _xlpm.fertilizer, INDEX(Recipe_Input[Fertilizer], _xlpm.idx), _xlpm.grams, INDEX(Recipe_Input[Amount (g)], _xlpm.idx), IF(_xlpm.fertilizer="", "", IF(_xlpm.grams=0, "", _xlpm.fertilizer)))</f>
        <v/>
      </c>
      <c r="B29" s="55">
        <f>IFERROR(_xlfn.XLOOKUP(Recipe_Calc[[#This Row],[Nutrient Concentration (ppm)]],Recipe_Input[Fertilizer],Recipe_Input[Amount (g)])*_xlfn.XLOOKUP(Recipe_Calc[[#This Row],[Nutrient Concentration (ppm)]],Fertilizers[Fertilizer],Fertilizers[Total N (%)])*10/Recipes_Crop[Volume (L)],0)</f>
        <v>0</v>
      </c>
      <c r="C29" s="55">
        <f>IFERROR(_xlfn.XLOOKUP(Recipe_Calc[[#This Row],[Nutrient Concentration (ppm)]],Recipe_Input[Fertilizer],Recipe_Input[Amount (g)])*_xlfn.XLOOKUP(Recipe_Calc[[#This Row],[Nutrient Concentration (ppm)]],Fertilizers[Fertilizer],Fertilizers[NH₄ (%/N)])*10/Recipes_Crop[Volume (L)],0)</f>
        <v>0</v>
      </c>
      <c r="D29" s="55">
        <f>IFERROR(_xlfn.XLOOKUP(Recipe_Calc[[#This Row],[Nutrient Concentration (ppm)]],Recipe_Input[Fertilizer],Recipe_Input[Amount (g)])*_xlfn.XLOOKUP(Recipe_Calc[[#This Row],[Nutrient Concentration (ppm)]],Fertilizers[Fertilizer],Fertilizers[NO₃ (%/N)])*10/Recipes_Crop[Volume (L)],0)</f>
        <v>0</v>
      </c>
      <c r="E29" s="55">
        <f>IFERROR(_xlfn.XLOOKUP(Recipe_Calc[[#This Row],[Nutrient Concentration (ppm)]],Recipe_Input[Fertilizer],Recipe_Input[Amount (g)])*_xlfn.XLOOKUP(Recipe_Calc[[#This Row],[Nutrient Concentration (ppm)]],Fertilizers[Fertilizer],Fertilizers[CO(NH₂)₂ (%/N)])*10/Recipes_Crop[Volume (L)],0)</f>
        <v>0</v>
      </c>
      <c r="F29" s="55">
        <f>IFERROR(_xlfn.XLOOKUP(Recipe_Calc[[#This Row],[Nutrient Concentration (ppm)]],Recipe_Input[Fertilizer],Recipe_Input[Amount (g)])*_xlfn.XLOOKUP(Recipe_Calc[[#This Row],[Nutrient Concentration (ppm)]],Fertilizers[Fertilizer],Fertilizers[P (%)])*10/Recipes_Crop[Volume (L)],0)</f>
        <v>0</v>
      </c>
      <c r="G29" s="55">
        <f>IFERROR(_xlfn.XLOOKUP(Recipe_Calc[[#This Row],[Nutrient Concentration (ppm)]],Recipe_Input[Fertilizer],Recipe_Input[Amount (g)])*_xlfn.XLOOKUP(Recipe_Calc[[#This Row],[Nutrient Concentration (ppm)]],Fertilizers[Fertilizer],Fertilizers[K (%)])*10/Recipes_Crop[Volume (L)],0)</f>
        <v>0</v>
      </c>
      <c r="H29" s="55">
        <f>IFERROR(_xlfn.XLOOKUP(Recipe_Calc[[#This Row],[Nutrient Concentration (ppm)]],Recipe_Input[Fertilizer],Recipe_Input[Amount (g)])*_xlfn.XLOOKUP(Recipe_Calc[[#This Row],[Nutrient Concentration (ppm)]],Fertilizers[Fertilizer],Fertilizers[Ca (%)])*10/Recipes_Crop[Volume (L)],0)</f>
        <v>0</v>
      </c>
      <c r="I29" s="55">
        <f>IFERROR(_xlfn.XLOOKUP(Recipe_Calc[[#This Row],[Nutrient Concentration (ppm)]],Recipe_Input[Fertilizer],Recipe_Input[Amount (g)])*_xlfn.XLOOKUP(Recipe_Calc[[#This Row],[Nutrient Concentration (ppm)]],Fertilizers[Fertilizer],Fertilizers[Mg (%)])*10/Recipes_Crop[Volume (L)],0)</f>
        <v>0</v>
      </c>
      <c r="J29" s="55">
        <f>IFERROR(_xlfn.XLOOKUP(Recipe_Calc[[#This Row],[Nutrient Concentration (ppm)]],Recipe_Input[Fertilizer],Recipe_Input[Amount (g)])*_xlfn.XLOOKUP(Recipe_Calc[[#This Row],[Nutrient Concentration (ppm)]],Fertilizers[Fertilizer],Fertilizers[S (%)])*10/Recipes_Crop[Volume (L)],0)</f>
        <v>0</v>
      </c>
      <c r="K29" s="55">
        <f>IFERROR(_xlfn.XLOOKUP(Recipe_Calc[[#This Row],[Nutrient Concentration (ppm)]],Recipe_Input[Fertilizer],Recipe_Input[Amount (g)])*_xlfn.XLOOKUP(Recipe_Calc[[#This Row],[Nutrient Concentration (ppm)]],Fertilizers[Fertilizer],Fertilizers[B (%)])*10/Recipes_Crop[Volume (L)],0)</f>
        <v>0</v>
      </c>
      <c r="L29" s="55">
        <f>IFERROR(_xlfn.XLOOKUP(Recipe_Calc[[#This Row],[Nutrient Concentration (ppm)]],Recipe_Input[Fertilizer],Recipe_Input[Amount (g)])*_xlfn.XLOOKUP(Recipe_Calc[[#This Row],[Nutrient Concentration (ppm)]],Fertilizers[Fertilizer],Fertilizers[Cu (%)])*10/Recipes_Crop[Volume (L)],0)</f>
        <v>0</v>
      </c>
      <c r="M29" s="55">
        <f>IFERROR(_xlfn.XLOOKUP(Recipe_Calc[[#This Row],[Nutrient Concentration (ppm)]],Recipe_Input[Fertilizer],Recipe_Input[Amount (g)])*_xlfn.XLOOKUP(Recipe_Calc[[#This Row],[Nutrient Concentration (ppm)]],Fertilizers[Fertilizer],Fertilizers[Fe (%)])*10/Recipes_Crop[Volume (L)],0)</f>
        <v>0</v>
      </c>
      <c r="N29" s="55">
        <f>IFERROR(_xlfn.XLOOKUP(Recipe_Calc[[#This Row],[Nutrient Concentration (ppm)]],Recipe_Input[Fertilizer],Recipe_Input[Amount (g)])*_xlfn.XLOOKUP(Recipe_Calc[[#This Row],[Nutrient Concentration (ppm)]],Fertilizers[Fertilizer],Fertilizers[Mn (%)])*10/Recipes_Crop[Volume (L)],0)</f>
        <v>0</v>
      </c>
      <c r="O29" s="55">
        <f>IFERROR(_xlfn.XLOOKUP(Recipe_Calc[[#This Row],[Nutrient Concentration (ppm)]],Recipe_Input[Fertilizer],Recipe_Input[Amount (g)])*_xlfn.XLOOKUP(Recipe_Calc[[#This Row],[Nutrient Concentration (ppm)]],Fertilizers[Fertilizer],Fertilizers[Mo (%)])*10/Recipes_Crop[Volume (L)],0)</f>
        <v>0</v>
      </c>
      <c r="P29" s="55">
        <f>IFERROR(_xlfn.XLOOKUP(Recipe_Calc[[#This Row],[Nutrient Concentration (ppm)]],Recipe_Input[Fertilizer],Recipe_Input[Amount (g)])*_xlfn.XLOOKUP(Recipe_Calc[[#This Row],[Nutrient Concentration (ppm)]],Fertilizers[Fertilizer],Fertilizers[Zn (%)])*10/Recipes_Crop[Volume (L)],0)</f>
        <v>0</v>
      </c>
      <c r="Q29" s="55">
        <f>IFERROR(_xlfn.XLOOKUP(Recipe_Calc[[#This Row],[Nutrient Concentration (ppm)]],Recipe_Input[Fertilizer],Recipe_Input[Amount (g)])*_xlfn.XLOOKUP(Recipe_Calc[[#This Row],[Nutrient Concentration (ppm)]],Fertilizers[Fertilizer],Fertilizers[Cl (%)])*10/Recipes_Crop[Volume (L)],0)</f>
        <v>0</v>
      </c>
      <c r="R29" s="55">
        <f>IFERROR(_xlfn.XLOOKUP(Recipe_Calc[[#This Row],[Nutrient Concentration (ppm)]],Recipe_Input[Fertilizer],Recipe_Input[Amount (g)])*_xlfn.XLOOKUP(Recipe_Calc[[#This Row],[Nutrient Concentration (ppm)]],Fertilizers[Fertilizer],Fertilizers[Si (%)])*10/Recipes_Crop[Volume (L)],0)</f>
        <v>0</v>
      </c>
      <c r="S29" s="55">
        <f>IFERROR(_xlfn.XLOOKUP(Recipe_Calc[[#This Row],[Nutrient Concentration (ppm)]],Recipe_Input[Fertilizer],Recipe_Input[Amount (g)])*_xlfn.XLOOKUP(Recipe_Calc[[#This Row],[Nutrient Concentration (ppm)]],Fertilizers[Fertilizer],Fertilizers[Ni (%)])*10/Recipes_Crop[Volume (L)],0)</f>
        <v>0</v>
      </c>
      <c r="T29" s="55">
        <f>IFERROR(_xlfn.XLOOKUP(Recipe_Calc[[#This Row],[Nutrient Concentration (ppm)]],Recipe_Input[Fertilizer],Recipe_Input[Amount (g)])*_xlfn.XLOOKUP(Recipe_Calc[[#This Row],[Nutrient Concentration (ppm)]],Fertilizers[Fertilizer],Fertilizers[Na (%)])*10/Recipes_Crop[Volume (L)],0)</f>
        <v>0</v>
      </c>
      <c r="U29" s="55">
        <f>IFERROR(_xlfn.XLOOKUP(Recipe_Calc[[#This Row],[Nutrient Concentration (ppm)]],Recipe_Input[Fertilizer],Recipe_Input[Amount (g)])*_xlfn.XLOOKUP(Recipe_Calc[[#This Row],[Nutrient Concentration (ppm)]],Fertilizers[Fertilizer],Fertilizers[Co (%)])*10/Recipes_Crop[Volume (L)],0)</f>
        <v>0</v>
      </c>
      <c r="V29" s="55">
        <f>IFERROR(_xlfn.XLOOKUP(Recipe_Calc[[#This Row],[Nutrient Concentration (ppm)]],Recipe_Input[Fertilizer],Recipe_Input[Amount (g)])*_xlfn.XLOOKUP(Recipe_Calc[[#This Row],[Nutrient Concentration (ppm)]],Fertilizers[Fertilizer],Fertilizers[I (%)])*10/Recipes_Crop[Volume (L)],0)</f>
        <v>0</v>
      </c>
      <c r="W29" s="55">
        <f>IFERROR(_xlfn.XLOOKUP(Recipe_Calc[[#This Row],[Nutrient Concentration (ppm)]],Recipe_Input[Fertilizer],Recipe_Input[Amount (g)])*_xlfn.XLOOKUP(Recipe_Calc[[#This Row],[Nutrient Concentration (ppm)]],Fertilizers[Fertilizer],Fertilizers[Se (%)])*10/Recipes_Crop[Volume (L)],0)</f>
        <v>0</v>
      </c>
      <c r="X29" s="55">
        <f>IFERROR(_xlfn.XLOOKUP(Recipe_Calc[[#This Row],[Nutrient Concentration (ppm)]],Recipe_Input[Fertilizer],Recipe_Input[Amount (g)])*_xlfn.XLOOKUP(Recipe_Calc[[#This Row],[Nutrient Concentration (ppm)]],Fertilizers[Fertilizer],Fertilizers[Al (%)])*10/Recipes_Crop[Volume (L)],0)</f>
        <v>0</v>
      </c>
    </row>
    <row r="30" spans="1:25">
      <c r="A30" s="55" t="s">
        <v>275</v>
      </c>
      <c r="B30" s="55" cm="1">
        <f t="array" ref="B30">Water_Test[Nitrate-N]</f>
        <v>0</v>
      </c>
      <c r="C30" s="55" cm="1">
        <f t="array" ref="C30">Water_Test[Ammonium-N]</f>
        <v>0</v>
      </c>
      <c r="D30" s="55" cm="1">
        <f t="array" ref="D30">Water_Test[Nitrate-N]</f>
        <v>0</v>
      </c>
      <c r="E30" s="55" cm="1">
        <f t="array" ref="E30">Water_Test[Urea]</f>
        <v>0</v>
      </c>
      <c r="F30" s="55" cm="1">
        <f t="array" ref="F30">Water_Test[P]</f>
        <v>0</v>
      </c>
      <c r="G30" s="55" cm="1">
        <f t="array" ref="G30">Water_Test[K]</f>
        <v>0</v>
      </c>
      <c r="H30" s="55" cm="1">
        <f t="array" ref="H30">Water_Test[Ca]</f>
        <v>0</v>
      </c>
      <c r="I30" s="55" cm="1">
        <f t="array" ref="I30">Water_Test[Mg]</f>
        <v>0</v>
      </c>
      <c r="J30" s="55" cm="1">
        <f t="array" ref="J30">Water_Test[SO₄²⁻] * _xlfn.XLOOKUP("SO₄²⁻ (g/mol) to S (g/mol)", Conversions[Key], Conversions[Multiply By])</f>
        <v>0</v>
      </c>
      <c r="K30" s="55" cm="1">
        <f t="array" ref="K30">Water_Test[B]</f>
        <v>0</v>
      </c>
      <c r="L30" s="55" cm="1">
        <f t="array" ref="L30">Water_Test[Cu]</f>
        <v>0</v>
      </c>
      <c r="M30" s="55" cm="1">
        <f t="array" ref="M30">Water_Test[Fe]</f>
        <v>0</v>
      </c>
      <c r="N30" s="55" cm="1">
        <f t="array" ref="N30">Water_Test[Mn]</f>
        <v>0</v>
      </c>
      <c r="O30" s="55" cm="1">
        <f t="array" ref="O30">Water_Test[Mo]</f>
        <v>0</v>
      </c>
      <c r="P30" s="55" cm="1">
        <f t="array" ref="P30">Water_Test[Zn]</f>
        <v>0</v>
      </c>
      <c r="Q30" s="55" cm="1">
        <f t="array" ref="Q30">Water_Test[Cl]</f>
        <v>0</v>
      </c>
      <c r="R30" s="55" cm="1">
        <f t="array" ref="R30">Water_Test[Si]</f>
        <v>0</v>
      </c>
      <c r="S30" s="55" cm="1">
        <f t="array" ref="S30">Water_Test[Ni]</f>
        <v>0</v>
      </c>
      <c r="T30" s="55" cm="1">
        <f t="array" ref="T30">Water_Test[Na]</f>
        <v>0</v>
      </c>
      <c r="U30" s="55" cm="1">
        <f t="array" ref="U30">Water_Test[Co]</f>
        <v>0</v>
      </c>
      <c r="V30" s="55" cm="1">
        <f t="array" ref="V30">Water_Test[I]</f>
        <v>0</v>
      </c>
      <c r="W30" s="55" cm="1">
        <f t="array" ref="W30">Water_Test[Se]</f>
        <v>0</v>
      </c>
      <c r="X30" s="55" cm="1">
        <f t="array" ref="X30">Water_Test[Al]</f>
        <v>0</v>
      </c>
    </row>
    <row r="31" spans="1:25">
      <c r="A31" s="55" t="s">
        <v>276</v>
      </c>
      <c r="B31" s="55">
        <f ca="1">SUM(INDEX(Recipe_Calc[Total N],1):INDEX(Recipe_Calc[Total N],6))</f>
        <v>150</v>
      </c>
      <c r="C31" s="55">
        <f ca="1">SUM(INDEX(Recipe_Calc[Ammonium-N],1):INDEX(Recipe_Calc[Ammonium-N],6))</f>
        <v>2.5</v>
      </c>
      <c r="D31" s="55">
        <f ca="1">SUM(INDEX(Recipe_Calc[Nitrate-N],1):INDEX(Recipe_Calc[Nitrate-N],6))</f>
        <v>147.50000000000003</v>
      </c>
      <c r="E31" s="55">
        <f ca="1">SUM(INDEX(Recipe_Calc[Urea],1):INDEX(Recipe_Calc[Urea],6))</f>
        <v>0</v>
      </c>
      <c r="F31" s="55">
        <f ca="1">SUM(INDEX(Recipe_Calc[P],1):INDEX(Recipe_Calc[P],6))</f>
        <v>21.819078483866424</v>
      </c>
      <c r="G31" s="55">
        <f ca="1">SUM(INDEX(Recipe_Calc[K],1):INDEX(Recipe_Calc[K],6))</f>
        <v>166.02972399150744</v>
      </c>
      <c r="H31" s="55">
        <f ca="1">SUM(INDEX(Recipe_Calc[Ca],1):INDEX(Recipe_Calc[Ca],6))</f>
        <v>87.5</v>
      </c>
      <c r="I31" s="55">
        <f ca="1">SUM(INDEX(Recipe_Calc[Mg],1):INDEX(Recipe_Calc[Mg],6))</f>
        <v>43.948599999999999</v>
      </c>
      <c r="J31" s="55">
        <f ca="1">SUM(INDEX(Recipe_Calc[S],1):INDEX(Recipe_Calc[S],6))</f>
        <v>25.002158823529413</v>
      </c>
      <c r="K31" s="55">
        <f ca="1">SUM(INDEX(Recipe_Calc[B],1):INDEX(Recipe_Calc[B],6))</f>
        <v>0.25000000000000006</v>
      </c>
      <c r="L31" s="55">
        <f ca="1">SUM(INDEX(Recipe_Calc[Cu],1):INDEX(Recipe_Calc[Cu],6))</f>
        <v>0.25000000000000006</v>
      </c>
      <c r="M31" s="55">
        <f ca="1">SUM(INDEX(Recipe_Calc[Fe],1):INDEX(Recipe_Calc[Fe],6))</f>
        <v>1.875</v>
      </c>
      <c r="N31" s="55">
        <f ca="1">SUM(INDEX(Recipe_Calc[Mn],1):INDEX(Recipe_Calc[Mn],6))</f>
        <v>0.625</v>
      </c>
      <c r="O31" s="55">
        <f ca="1">SUM(INDEX(Recipe_Calc[Mo],1):INDEX(Recipe_Calc[Mo],6))</f>
        <v>1.2500000000000001E-2</v>
      </c>
      <c r="P31" s="55">
        <f ca="1">SUM(INDEX(Recipe_Calc[Zn],1):INDEX(Recipe_Calc[Zn],6))</f>
        <v>0.43750000000000011</v>
      </c>
      <c r="Q31" s="55">
        <f ca="1">SUM(INDEX(Recipe_Calc[Cl],1):INDEX(Recipe_Calc[Cl],6))</f>
        <v>0</v>
      </c>
      <c r="R31" s="55">
        <f ca="1">SUM(INDEX(Recipe_Calc[Si],1):INDEX(Recipe_Calc[Si],6))</f>
        <v>0</v>
      </c>
      <c r="S31" s="55">
        <f ca="1">SUM(INDEX(Recipe_Calc[Ni],1):INDEX(Recipe_Calc[Ni],6))</f>
        <v>0</v>
      </c>
      <c r="T31" s="55">
        <f ca="1">SUM(INDEX(Recipe_Calc[Na],1):INDEX(Recipe_Calc[Na],6))</f>
        <v>0</v>
      </c>
      <c r="U31" s="55">
        <f ca="1">SUM(INDEX(Recipe_Calc[Co],1):INDEX(Recipe_Calc[Co],6))</f>
        <v>0</v>
      </c>
      <c r="V31" s="55">
        <f ca="1">SUM(INDEX(Recipe_Calc[I],1):INDEX(Recipe_Calc[I],6))</f>
        <v>0</v>
      </c>
      <c r="W31" s="55">
        <f ca="1">SUM(INDEX(Recipe_Calc[Se],1):INDEX(Recipe_Calc[Se],6))</f>
        <v>0</v>
      </c>
      <c r="X31" s="55">
        <f ca="1">SUM(INDEX(Recipe_Calc[Al],1):INDEX(Recipe_Calc[Al],6))</f>
        <v>0</v>
      </c>
      <c r="Y31" s="55">
        <f ca="1">IF(N(Recipe_Calc[[#This Row],[Total N]])&gt;0,Recipe_Calc[[#This Row],[K]]/Recipe_Calc[[#This Row],[Total N]],"")</f>
        <v>1.1068648266100496</v>
      </c>
    </row>
    <row r="32" spans="1:25">
      <c r="A32" s="55" t="s">
        <v>277</v>
      </c>
      <c r="B32" s="55">
        <f>IF(Recipes_Crop[Crop]="","",IFERROR(AVERAGEIFS(Nutrients[N],Nutrients[For],Recipes_Crop[Crop],Nutrients[Active],"1"),""))</f>
        <v>150</v>
      </c>
      <c r="F32" s="55">
        <f>IF(Recipes_Crop[Crop]="","",IFERROR(AVERAGEIFS(Nutrients[P],Nutrients[For],Recipes_Crop[Crop],Nutrients[Active],"1"),""))</f>
        <v>31</v>
      </c>
      <c r="G32" s="55">
        <f>IF(Recipes_Crop[Crop]="","",IFERROR(AVERAGEIFS(Nutrients[K],Nutrients[For],Recipes_Crop[Crop],Nutrients[Active],"1"),""))</f>
        <v>210</v>
      </c>
      <c r="H32" s="55">
        <f>IF(Recipes_Crop[Crop]="","",IFERROR(AVERAGEIFS(Nutrients[Ca],Nutrients[For],Recipes_Crop[Crop],Nutrients[Active],"1"),""))</f>
        <v>90</v>
      </c>
      <c r="I32" s="55">
        <f>IF(Recipes_Crop[Crop]="","",IFERROR(AVERAGEIFS(Nutrients[Mg],Nutrients[For],Recipes_Crop[Crop],Nutrients[Active],"1"),""))</f>
        <v>24</v>
      </c>
      <c r="J32" s="55">
        <f>IF(Recipes_Crop[Crop]="","",IFERROR(AVERAGEIFS(Nutrients[S],Nutrients[For],Recipes_Crop[Crop],Nutrients[Active],"1"),""))</f>
        <v>32</v>
      </c>
      <c r="K32" s="55">
        <f>IF(Recipes_Crop[Crop]="","",IFERROR(AVERAGEIFS(Nutrients[B],Nutrients[For],Recipes_Crop[Crop],Nutrients[Active],"1"),""))</f>
        <v>0.16</v>
      </c>
      <c r="L32" s="55">
        <f>IF(Recipes_Crop[Crop]="","",IFERROR(AVERAGEIFS(Nutrients[Cu],Nutrients[For],Recipes_Crop[Crop],Nutrients[Active],"1"),""))</f>
        <v>2.3E-2</v>
      </c>
      <c r="M32" s="55">
        <f>IF(Recipes_Crop[Crop]="","",IFERROR(AVERAGEIFS(Nutrients[Fe],Nutrients[For],Recipes_Crop[Crop],Nutrients[Active],"1"),""))</f>
        <v>1</v>
      </c>
      <c r="N32" s="55">
        <f>IF(Recipes_Crop[Crop]="","",IFERROR(AVERAGEIFS(Nutrients[Mn],Nutrients[For],Recipes_Crop[Crop],Nutrients[Active],"1"),""))</f>
        <v>0.25</v>
      </c>
      <c r="O32" s="55">
        <f>IF(Recipes_Crop[Crop]="","",IFERROR(AVERAGEIFS(Nutrients[Mo],Nutrients[For],Recipes_Crop[Crop],Nutrients[Active],"1"),""))</f>
        <v>2.4E-2</v>
      </c>
      <c r="P32" s="55">
        <f>IF(Recipes_Crop[Crop]="","",IFERROR(AVERAGEIFS(Nutrients[Zn],Nutrients[For],Recipes_Crop[Crop],Nutrients[Active],"1"),""))</f>
        <v>0.13</v>
      </c>
      <c r="Q32" s="55">
        <f>IF(Recipes_Crop[Crop]="","",IFERROR(AVERAGEIFS(Nutrients[Cl],Nutrients[For],Recipes_Crop[Crop],Nutrients[Active],"1"),""))</f>
        <v>1.77</v>
      </c>
      <c r="R32" s="55">
        <f>IF(Recipes_Crop[Crop]="","",IFERROR(AVERAGEIFS(Nutrients[Si],Nutrients[For],Recipes_Crop[Crop],Nutrients[Active],"1"),""))</f>
        <v>28</v>
      </c>
      <c r="S32" s="55">
        <f>IF(Recipes_Crop[Crop]="","",IFERROR(AVERAGEIFS(Nutrients[Ni],Nutrients[For],Recipes_Crop[Crop],Nutrients[Active],"1"),""))</f>
        <v>0.03</v>
      </c>
      <c r="T32" s="55" t="str">
        <f>IF(Recipes_Crop[Crop]="","",IFERROR(AVERAGEIFS(Nutrients[Na],Nutrients[For],Recipes_Crop[Crop],Nutrients[Active],"1"),""))</f>
        <v/>
      </c>
      <c r="U32" s="55" t="str">
        <f>IF(Recipes_Crop[Crop]="","",IFERROR(AVERAGEIFS(Nutrients[Co],Nutrients[For],Recipes_Crop[Crop],Nutrients[Active],"1"),""))</f>
        <v/>
      </c>
      <c r="V32" s="55" t="str">
        <f>IF(Recipes_Crop[Crop]="","",IFERROR(AVERAGEIFS(Nutrients[I],Nutrients[For],Recipes_Crop[Crop],Nutrients[Active],"1"),""))</f>
        <v/>
      </c>
      <c r="W32" s="55" t="str">
        <f>IF(Recipes_Crop[Crop]="","",IFERROR(AVERAGEIFS(Nutrients[Se],Nutrients[For],Recipes_Crop[Crop],Nutrients[Active],"1"),""))</f>
        <v/>
      </c>
      <c r="X32" s="55" t="str">
        <f>IF(Recipes_Crop[Crop]="","",IFERROR(AVERAGEIFS(Nutrients[Al],Nutrients[For],Recipes_Crop[Crop],Nutrients[Active],"1"),""))</f>
        <v/>
      </c>
      <c r="Y32" s="55">
        <f>IF(AND(ISNUMBER(Recipe_Calc[[#This Row],[K]]),ISNUMBER(Recipe_Calc[[#This Row],[Total N]])),IF(Recipe_Calc[[#This Row],[Total N]]&gt;0,Recipe_Calc[[#This Row],[K]]/Recipe_Calc[[#This Row],[Total N]],""),"")</f>
        <v>1.4</v>
      </c>
    </row>
    <row r="33" spans="1:24">
      <c r="A33" s="55" t="s">
        <v>278</v>
      </c>
      <c r="B33" s="55">
        <f ca="1">IF(AND(ISNUMBER(INDEX(Recipe_Calc[Total N],8)),N(INDEX(Recipe_Calc[Total N],8))&gt;0),INDEX(Recipe_Calc[Total N],7)/INDEX(Recipe_Calc[Total N],8)*100,"")</f>
        <v>100</v>
      </c>
      <c r="F33" s="55">
        <f ca="1">IF(AND(ISNUMBER(INDEX(Recipe_Calc[P],8)),N(INDEX(Recipe_Calc[P],8))&gt;0),INDEX(Recipe_Calc[P],7)/INDEX(Recipe_Calc[P],8)*100,"")</f>
        <v>70.384124141504586</v>
      </c>
      <c r="G33" s="55">
        <f ca="1">IF(AND(ISNUMBER(INDEX(Recipe_Calc[K],8)),N(INDEX(Recipe_Calc[K],8))&gt;0),INDEX(Recipe_Calc[K],7)/INDEX(Recipe_Calc[K],8)*100,"")</f>
        <v>79.061773329289252</v>
      </c>
      <c r="H33" s="55">
        <f ca="1">IF(AND(ISNUMBER(INDEX(Recipe_Calc[Ca],8)),N(INDEX(Recipe_Calc[Ca],8))&gt;0),INDEX(Recipe_Calc[Ca],7)/INDEX(Recipe_Calc[Ca],8)*100,"")</f>
        <v>97.222222222222214</v>
      </c>
      <c r="I33" s="55">
        <f ca="1">IF(AND(ISNUMBER(INDEX(Recipe_Calc[Mg],8)),N(INDEX(Recipe_Calc[Mg],8))&gt;0),INDEX(Recipe_Calc[Mg],7)/INDEX(Recipe_Calc[Mg],8)*100,"")</f>
        <v>183.11916666666664</v>
      </c>
      <c r="J33" s="55">
        <f ca="1">IF(AND(ISNUMBER(INDEX(Recipe_Calc[S],8)),N(INDEX(Recipe_Calc[S],8))&gt;0),INDEX(Recipe_Calc[S],7)/INDEX(Recipe_Calc[S],8)*100,"")</f>
        <v>78.131746323529413</v>
      </c>
      <c r="K33" s="55">
        <f ca="1">IF(AND(ISNUMBER(INDEX(Recipe_Calc[B],8)),N(INDEX(Recipe_Calc[B],8))&gt;0),INDEX(Recipe_Calc[B],7)/INDEX(Recipe_Calc[B],8)*100,"")</f>
        <v>156.25000000000003</v>
      </c>
      <c r="L33" s="55">
        <f ca="1">IF(AND(ISNUMBER(INDEX(Recipe_Calc[Cu],8)),N(INDEX(Recipe_Calc[Cu],8))&gt;0),INDEX(Recipe_Calc[Cu],7)/INDEX(Recipe_Calc[Cu],8)*100,"")</f>
        <v>1086.9565217391307</v>
      </c>
      <c r="M33" s="55">
        <f ca="1">IF(AND(ISNUMBER(INDEX(Recipe_Calc[Fe],8)),N(INDEX(Recipe_Calc[Fe],8))&gt;0),INDEX(Recipe_Calc[Fe],7)/INDEX(Recipe_Calc[Fe],8)*100,"")</f>
        <v>187.5</v>
      </c>
      <c r="N33" s="55">
        <f ca="1">IF(AND(ISNUMBER(INDEX(Recipe_Calc[Mn],8)),N(INDEX(Recipe_Calc[Mn],8))&gt;0),INDEX(Recipe_Calc[Mn],7)/INDEX(Recipe_Calc[Mn],8)*100,"")</f>
        <v>250</v>
      </c>
      <c r="O33" s="55">
        <f ca="1">IF(AND(ISNUMBER(INDEX(Recipe_Calc[Mo],8)),N(INDEX(Recipe_Calc[Mo],8))&gt;0),INDEX(Recipe_Calc[Mo],7)/INDEX(Recipe_Calc[Mo],8)*100,"")</f>
        <v>52.083333333333336</v>
      </c>
      <c r="P33" s="55">
        <f ca="1">IF(AND(ISNUMBER(INDEX(Recipe_Calc[Zn],8)),N(INDEX(Recipe_Calc[Zn],8))&gt;0),INDEX(Recipe_Calc[Zn],7)/INDEX(Recipe_Calc[Zn],8)*100,"")</f>
        <v>336.5384615384616</v>
      </c>
      <c r="Q33" s="55">
        <f ca="1">IF(AND(ISNUMBER(INDEX(Recipe_Calc[Cl],8)),N(INDEX(Recipe_Calc[Cl],8))&gt;0),INDEX(Recipe_Calc[Cl],7)/INDEX(Recipe_Calc[Cl],8)*100,"")</f>
        <v>0</v>
      </c>
      <c r="R33" s="55">
        <f ca="1">IF(AND(ISNUMBER(INDEX(Recipe_Calc[Si],8)),N(INDEX(Recipe_Calc[Si],8))&gt;0),INDEX(Recipe_Calc[Si],7)/INDEX(Recipe_Calc[Si],8)*100,"")</f>
        <v>0</v>
      </c>
      <c r="S33" s="55">
        <f ca="1">IF(AND(ISNUMBER(INDEX(Recipe_Calc[Ni],8)),N(INDEX(Recipe_Calc[Ni],8))&gt;0),INDEX(Recipe_Calc[Ni],7)/INDEX(Recipe_Calc[Ni],8)*100,"")</f>
        <v>0</v>
      </c>
      <c r="T33" s="55" t="str">
        <f>IF(AND(ISNUMBER(INDEX(Recipe_Calc[Na],8)),N(INDEX(Recipe_Calc[Na],8))&gt;0),INDEX(Recipe_Calc[Na],7)/INDEX(Recipe_Calc[Na],8)*100,"")</f>
        <v/>
      </c>
      <c r="U33" s="55" t="str">
        <f>IF(AND(ISNUMBER(INDEX(Recipe_Calc[Co],8)),N(INDEX(Recipe_Calc[Co],8))&gt;0),INDEX(Recipe_Calc[Co],7)/INDEX(Recipe_Calc[Co],8)*100,"")</f>
        <v/>
      </c>
      <c r="V33" s="55" t="str">
        <f>IF(AND(ISNUMBER(INDEX(Recipe_Calc[I],8)),N(INDEX(Recipe_Calc[I],8))&gt;0),INDEX(Recipe_Calc[I],7)/INDEX(Recipe_Calc[I],8)*100,"")</f>
        <v/>
      </c>
      <c r="W33" s="55" t="str">
        <f>IF(AND(ISNUMBER(INDEX(Recipe_Calc[Se],8)),N(INDEX(Recipe_Calc[Se],8))&gt;0),INDEX(Recipe_Calc[Se],7)/INDEX(Recipe_Calc[Se],8)*100,"")</f>
        <v/>
      </c>
      <c r="X33" s="55" t="str">
        <f>IF(AND(ISNUMBER(INDEX(Recipe_Calc[Al],8)),N(INDEX(Recipe_Calc[Al],8))&gt;0),INDEX(Recipe_Calc[Al],7)/INDEX(Recipe_Calc[Al],8)*100,"")</f>
        <v/>
      </c>
    </row>
  </sheetData>
  <conditionalFormatting sqref="U11:AN14 U15:AO20 U21:AN999997 R11:T999997 A11:T12 C22:T23 C13:T14 A15:T21 A24:T999997">
    <cfRule type="expression" dxfId="372" priority="2">
      <formula>_xlfn.ISFORMULA(A11)</formula>
    </cfRule>
  </conditionalFormatting>
  <dataValidations count="4">
    <dataValidation type="list" allowBlank="1" showInputMessage="1" showErrorMessage="1" sqref="A11" xr:uid="{B919B1A5-4D77-412A-A257-3CB760A3A345}">
      <formula1>Seeds\Scientific_Name</formula1>
    </dataValidation>
    <dataValidation type="list" allowBlank="1" showInputMessage="1" showErrorMessage="1" sqref="A16:A20" xr:uid="{FFD80EBE-B12D-4EC0-83D0-EB316C225011}">
      <formula1>Fertilizers\Fertilizer</formula1>
    </dataValidation>
    <dataValidation allowBlank="1" showInputMessage="1" showErrorMessage="1" sqref="E11 B11 D16:D20 E16:F20" xr:uid="{31F3A546-D7E5-4E26-858F-8F8576EE8349}"/>
    <dataValidation type="list" allowBlank="1" showInputMessage="1" showErrorMessage="1" sqref="B16:B20 D16:D20" xr:uid="{6C68BE16-51E3-4520-A388-A6762A179DEB}">
      <formula1>List\Fertilizers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EEF8-8B0F-475C-85DE-5EEEAED6A0F4}">
  <dimension ref="A1:Z11"/>
  <sheetViews>
    <sheetView topLeftCell="A6" workbookViewId="0">
      <selection activeCell="D7" sqref="D7"/>
    </sheetView>
  </sheetViews>
  <sheetFormatPr defaultRowHeight="15"/>
  <cols>
    <col min="1" max="1" width="21.7109375" bestFit="1" customWidth="1"/>
    <col min="3" max="3" width="12.28515625" bestFit="1" customWidth="1"/>
    <col min="4" max="4" width="10.28515625" customWidth="1"/>
    <col min="5" max="5" width="8.42578125" customWidth="1"/>
    <col min="6" max="6" width="17.28515625" customWidth="1"/>
    <col min="7" max="7" width="12.7109375" customWidth="1"/>
    <col min="8" max="8" width="7.85546875" customWidth="1"/>
    <col min="9" max="9" width="6.28515625" customWidth="1"/>
    <col min="10" max="10" width="6.5703125" customWidth="1"/>
    <col min="13" max="13" width="6.85546875" customWidth="1"/>
  </cols>
  <sheetData>
    <row r="1" spans="1:26">
      <c r="A1" s="44" t="s">
        <v>279</v>
      </c>
    </row>
    <row r="2" spans="1:26">
      <c r="A2" s="3" t="s">
        <v>280</v>
      </c>
    </row>
    <row r="10" spans="1:26" ht="15" customHeight="1">
      <c r="A10" t="s">
        <v>281</v>
      </c>
      <c r="B10" t="s">
        <v>282</v>
      </c>
      <c r="C10" t="s">
        <v>283</v>
      </c>
      <c r="D10" t="s">
        <v>271</v>
      </c>
      <c r="E10" t="s">
        <v>197</v>
      </c>
      <c r="F10" t="s">
        <v>272</v>
      </c>
      <c r="G10" t="s">
        <v>273</v>
      </c>
      <c r="H10" t="s">
        <v>18</v>
      </c>
      <c r="I10" t="s">
        <v>26</v>
      </c>
      <c r="J10" t="s">
        <v>33</v>
      </c>
      <c r="K10" t="s">
        <v>39</v>
      </c>
      <c r="L10" t="s">
        <v>145</v>
      </c>
      <c r="M10" t="s">
        <v>49</v>
      </c>
      <c r="N10" t="s">
        <v>53</v>
      </c>
      <c r="O10" t="s">
        <v>57</v>
      </c>
      <c r="P10" t="s">
        <v>60</v>
      </c>
      <c r="Q10" t="s">
        <v>63</v>
      </c>
      <c r="R10" t="s">
        <v>66</v>
      </c>
      <c r="S10" t="s">
        <v>69</v>
      </c>
      <c r="T10" t="s">
        <v>72</v>
      </c>
      <c r="U10" t="s">
        <v>75</v>
      </c>
      <c r="V10" t="s">
        <v>78</v>
      </c>
      <c r="W10" t="s">
        <v>81</v>
      </c>
      <c r="X10" t="s">
        <v>84</v>
      </c>
      <c r="Y10" t="s">
        <v>87</v>
      </c>
      <c r="Z10" t="s">
        <v>90</v>
      </c>
    </row>
    <row r="11" spans="1:26"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</sheetData>
  <conditionalFormatting sqref="A11:AN999999">
    <cfRule type="expression" dxfId="327" priority="1">
      <formula>AND(A11="", $D11&lt;&gt;"",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2391A-A8A4-4A43-AB51-882FADDE7B30}">
  <dimension ref="A9:P15"/>
  <sheetViews>
    <sheetView topLeftCell="M9" workbookViewId="0">
      <selection activeCell="O21" sqref="O21"/>
    </sheetView>
  </sheetViews>
  <sheetFormatPr defaultRowHeight="15"/>
  <cols>
    <col min="1" max="1" width="11" customWidth="1"/>
    <col min="2" max="2" width="18.5703125" customWidth="1"/>
    <col min="3" max="3" width="21.28515625" customWidth="1"/>
    <col min="4" max="4" width="25.28515625" customWidth="1"/>
    <col min="5" max="5" width="11" customWidth="1"/>
    <col min="6" max="6" width="11.7109375" customWidth="1"/>
    <col min="7" max="7" width="9.140625" customWidth="1"/>
    <col min="8" max="8" width="24" customWidth="1"/>
    <col min="9" max="9" width="9.85546875" customWidth="1"/>
    <col min="10" max="10" width="11.140625" customWidth="1"/>
    <col min="11" max="11" width="28.5703125" customWidth="1"/>
    <col min="12" max="12" width="28.42578125" customWidth="1"/>
    <col min="13" max="13" width="20.28515625" customWidth="1"/>
    <col min="14" max="15" width="61.140625" customWidth="1"/>
    <col min="16" max="16" width="117.42578125" customWidth="1"/>
  </cols>
  <sheetData>
    <row r="9" spans="1:16">
      <c r="B9" s="35" t="s">
        <v>284</v>
      </c>
      <c r="H9" t="s">
        <v>285</v>
      </c>
    </row>
    <row r="10" spans="1:16">
      <c r="A10" t="s">
        <v>286</v>
      </c>
      <c r="B10" t="s">
        <v>287</v>
      </c>
      <c r="C10" t="s">
        <v>288</v>
      </c>
      <c r="D10" t="s">
        <v>289</v>
      </c>
      <c r="E10" t="s">
        <v>290</v>
      </c>
      <c r="F10" t="s">
        <v>291</v>
      </c>
      <c r="G10" t="s">
        <v>149</v>
      </c>
      <c r="H10" t="s">
        <v>292</v>
      </c>
      <c r="I10" t="s">
        <v>293</v>
      </c>
      <c r="J10" t="s">
        <v>294</v>
      </c>
      <c r="K10" t="s">
        <v>295</v>
      </c>
      <c r="L10" t="s">
        <v>296</v>
      </c>
      <c r="M10" t="s">
        <v>297</v>
      </c>
      <c r="N10" t="s">
        <v>298</v>
      </c>
      <c r="O10" t="s">
        <v>106</v>
      </c>
      <c r="P10" t="s">
        <v>299</v>
      </c>
    </row>
    <row r="11" spans="1:16">
      <c r="A11" t="s">
        <v>300</v>
      </c>
      <c r="B11" s="36" t="s">
        <v>256</v>
      </c>
      <c r="C11" t="s">
        <v>301</v>
      </c>
      <c r="D11" t="s">
        <v>302</v>
      </c>
      <c r="E11" t="s">
        <v>303</v>
      </c>
      <c r="F11" t="s">
        <v>304</v>
      </c>
      <c r="G11" s="3" t="s">
        <v>305</v>
      </c>
      <c r="H11" t="s">
        <v>306</v>
      </c>
      <c r="I11" t="s">
        <v>307</v>
      </c>
      <c r="J11" t="s">
        <v>294</v>
      </c>
      <c r="K11" s="10" t="s">
        <v>179</v>
      </c>
      <c r="L11" s="10" t="s">
        <v>179</v>
      </c>
      <c r="M11" s="6" t="s">
        <v>182</v>
      </c>
      <c r="N11" t="s">
        <v>308</v>
      </c>
      <c r="O11" s="10" t="s">
        <v>238</v>
      </c>
      <c r="P11" s="9" t="s">
        <v>309</v>
      </c>
    </row>
    <row r="12" spans="1:16">
      <c r="A12" t="s">
        <v>310</v>
      </c>
      <c r="B12" s="36" t="s">
        <v>256</v>
      </c>
      <c r="C12" t="s">
        <v>311</v>
      </c>
      <c r="D12" t="s">
        <v>302</v>
      </c>
      <c r="E12" t="s">
        <v>312</v>
      </c>
      <c r="F12" t="s">
        <v>304</v>
      </c>
      <c r="G12" s="3" t="s">
        <v>313</v>
      </c>
      <c r="H12" t="s">
        <v>314</v>
      </c>
      <c r="I12" t="s">
        <v>307</v>
      </c>
      <c r="J12" s="3" t="s">
        <v>294</v>
      </c>
      <c r="K12" s="10" t="s">
        <v>179</v>
      </c>
      <c r="L12" s="10" t="s">
        <v>179</v>
      </c>
      <c r="M12" s="6" t="s">
        <v>182</v>
      </c>
      <c r="N12" t="s">
        <v>308</v>
      </c>
      <c r="O12" s="10" t="s">
        <v>238</v>
      </c>
      <c r="P12" s="9" t="s">
        <v>309</v>
      </c>
    </row>
    <row r="13" spans="1:16">
      <c r="A13" t="s">
        <v>315</v>
      </c>
      <c r="B13" s="36" t="s">
        <v>256</v>
      </c>
      <c r="C13" t="s">
        <v>316</v>
      </c>
      <c r="D13" t="s">
        <v>302</v>
      </c>
      <c r="E13" t="s">
        <v>317</v>
      </c>
      <c r="F13" t="s">
        <v>318</v>
      </c>
      <c r="G13" s="3" t="s">
        <v>305</v>
      </c>
      <c r="H13" s="3" t="s">
        <v>306</v>
      </c>
      <c r="I13" s="3" t="s">
        <v>307</v>
      </c>
      <c r="J13" s="3" t="s">
        <v>294</v>
      </c>
      <c r="K13" s="10" t="s">
        <v>179</v>
      </c>
      <c r="L13" s="10" t="s">
        <v>179</v>
      </c>
      <c r="M13" s="6" t="s">
        <v>182</v>
      </c>
      <c r="N13" t="s">
        <v>308</v>
      </c>
      <c r="O13" s="10" t="s">
        <v>238</v>
      </c>
      <c r="P13" s="9" t="s">
        <v>309</v>
      </c>
    </row>
    <row r="14" spans="1:16">
      <c r="A14" t="s">
        <v>319</v>
      </c>
      <c r="B14" s="36" t="s">
        <v>256</v>
      </c>
      <c r="C14" t="s">
        <v>320</v>
      </c>
      <c r="D14" t="s">
        <v>302</v>
      </c>
      <c r="E14" t="s">
        <v>321</v>
      </c>
      <c r="F14" t="s">
        <v>318</v>
      </c>
      <c r="G14" s="3" t="s">
        <v>313</v>
      </c>
      <c r="H14" t="s">
        <v>314</v>
      </c>
      <c r="I14" t="s">
        <v>307</v>
      </c>
      <c r="J14" s="3" t="s">
        <v>294</v>
      </c>
      <c r="K14" s="10" t="s">
        <v>179</v>
      </c>
      <c r="L14" s="10" t="s">
        <v>179</v>
      </c>
      <c r="M14" s="6" t="s">
        <v>182</v>
      </c>
      <c r="N14" t="s">
        <v>308</v>
      </c>
      <c r="O14" s="10" t="s">
        <v>238</v>
      </c>
      <c r="P14" s="9" t="s">
        <v>309</v>
      </c>
    </row>
    <row r="15" spans="1:16">
      <c r="A15" t="s">
        <v>322</v>
      </c>
      <c r="B15" s="36" t="s">
        <v>254</v>
      </c>
      <c r="C15" s="3" t="s">
        <v>323</v>
      </c>
      <c r="D15" t="s">
        <v>324</v>
      </c>
      <c r="E15" s="10" t="s">
        <v>238</v>
      </c>
      <c r="F15" t="s">
        <v>318</v>
      </c>
      <c r="G15" s="3" t="s">
        <v>325</v>
      </c>
      <c r="H15" s="8" t="s">
        <v>238</v>
      </c>
      <c r="I15" s="3" t="s">
        <v>307</v>
      </c>
      <c r="J15" s="3" t="s">
        <v>294</v>
      </c>
      <c r="K15" s="10" t="s">
        <v>326</v>
      </c>
      <c r="L15" s="10" t="s">
        <v>327</v>
      </c>
      <c r="M15" s="7" t="s">
        <v>328</v>
      </c>
      <c r="N15" s="3" t="s">
        <v>329</v>
      </c>
      <c r="O15" s="3" t="s">
        <v>330</v>
      </c>
      <c r="P15" s="9" t="s">
        <v>331</v>
      </c>
    </row>
  </sheetData>
  <conditionalFormatting sqref="A11:AG999999">
    <cfRule type="expression" dxfId="326" priority="1">
      <formula>AND(A11="", $A11&lt;&gt;"", A$10&lt;&gt;"")</formula>
    </cfRule>
  </conditionalFormatting>
  <hyperlinks>
    <hyperlink ref="P15" r:id="rId1" xr:uid="{8F3BA180-8D02-4593-9BA8-6630C9EBA0E7}"/>
    <hyperlink ref="P14" r:id="rId2" xr:uid="{8227A582-D0AD-4003-9FAB-F5C03886F3B7}"/>
    <hyperlink ref="P13" r:id="rId3" xr:uid="{EC89040A-FA3E-461C-896E-6BE4FD15D238}"/>
    <hyperlink ref="P12" r:id="rId4" xr:uid="{23399312-CD83-45B6-BE69-BBD2E20338CD}"/>
    <hyperlink ref="P11" r:id="rId5" xr:uid="{564F32CB-CA4A-44A4-A566-6ADD1F048520}"/>
  </hyperlinks>
  <pageMargins left="0.7" right="0.7" top="0.75" bottom="0.75" header="0.3" footer="0.3"/>
  <tableParts count="1">
    <tablePart r:id="rId6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0BC1A-F020-44B1-99BC-CB9560078498}">
  <dimension ref="A1:AB60"/>
  <sheetViews>
    <sheetView workbookViewId="0">
      <pane xSplit="2" topLeftCell="Q5" activePane="topRight" state="frozen"/>
      <selection pane="topRight" activeCell="S11" sqref="S11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3" width="27.28515625" style="17" customWidth="1"/>
    <col min="14" max="14" width="19.5703125" style="17" customWidth="1"/>
    <col min="15" max="15" width="15.7109375" style="17" customWidth="1"/>
    <col min="16" max="16" width="12.28515625" style="17" customWidth="1"/>
    <col min="17" max="17" width="15.42578125" style="17" customWidth="1"/>
    <col min="18" max="18" width="16.28515625" style="17" customWidth="1"/>
    <col min="19" max="19" width="28.140625" style="17" customWidth="1"/>
    <col min="20" max="20" width="28.7109375" style="17" customWidth="1"/>
    <col min="21" max="21" width="21.28515625" style="17" customWidth="1"/>
    <col min="22" max="22" width="23.7109375" style="17" customWidth="1"/>
    <col min="23" max="23" width="24.140625" style="17" customWidth="1"/>
    <col min="24" max="24" width="12.85546875" style="17" customWidth="1"/>
    <col min="25" max="25" width="14.7109375" style="17" customWidth="1"/>
    <col min="26" max="26" width="20.7109375" style="17" customWidth="1"/>
    <col min="27" max="27" width="19.85546875" style="17" customWidth="1"/>
    <col min="28" max="28" width="162.7109375" style="17" customWidth="1"/>
    <col min="29" max="16384" width="9.140625" style="17"/>
  </cols>
  <sheetData>
    <row r="1" spans="1:28">
      <c r="I1" s="22"/>
      <c r="J1" s="22"/>
      <c r="P1" s="17" t="s">
        <v>332</v>
      </c>
      <c r="Q1" s="17" t="s">
        <v>333</v>
      </c>
      <c r="X1" s="17" t="s">
        <v>334</v>
      </c>
      <c r="Y1" s="3" t="s">
        <v>334</v>
      </c>
    </row>
    <row r="9" spans="1:28">
      <c r="E9" s="19" t="s">
        <v>335</v>
      </c>
      <c r="F9" s="17" t="s">
        <v>336</v>
      </c>
      <c r="I9" s="19" t="s">
        <v>337</v>
      </c>
      <c r="J9" s="19" t="s">
        <v>338</v>
      </c>
      <c r="K9" s="17" t="s">
        <v>336</v>
      </c>
      <c r="R9" s="19" t="s">
        <v>339</v>
      </c>
      <c r="S9" s="17" t="s">
        <v>336</v>
      </c>
      <c r="X9" s="17" t="s">
        <v>336</v>
      </c>
    </row>
    <row r="10" spans="1:28">
      <c r="A10" t="s">
        <v>168</v>
      </c>
      <c r="B10" s="17" t="s">
        <v>340</v>
      </c>
      <c r="C10" s="17" t="s">
        <v>341</v>
      </c>
      <c r="D10" s="17" t="s">
        <v>342</v>
      </c>
      <c r="E10" s="17" t="s">
        <v>343</v>
      </c>
      <c r="F10" s="17" t="s">
        <v>344</v>
      </c>
      <c r="G10" s="17" t="s">
        <v>345</v>
      </c>
      <c r="H10" s="17" t="s">
        <v>346</v>
      </c>
      <c r="I10" s="17" t="s">
        <v>347</v>
      </c>
      <c r="J10" s="17" t="s">
        <v>348</v>
      </c>
      <c r="K10" s="17" t="s">
        <v>349</v>
      </c>
      <c r="L10" s="17" t="s">
        <v>350</v>
      </c>
      <c r="M10" s="17" t="s">
        <v>351</v>
      </c>
      <c r="N10" s="17" t="s">
        <v>352</v>
      </c>
      <c r="O10" s="17" t="s">
        <v>353</v>
      </c>
      <c r="P10" s="17" t="s">
        <v>354</v>
      </c>
      <c r="Q10" s="17" t="s">
        <v>355</v>
      </c>
      <c r="R10" s="17" t="s">
        <v>356</v>
      </c>
      <c r="S10" s="17" t="s">
        <v>357</v>
      </c>
      <c r="T10" s="17" t="s">
        <v>358</v>
      </c>
      <c r="U10" s="17" t="s">
        <v>359</v>
      </c>
      <c r="V10" s="17" t="s">
        <v>360</v>
      </c>
      <c r="W10" s="17" t="s">
        <v>361</v>
      </c>
      <c r="X10" s="17" t="s">
        <v>362</v>
      </c>
      <c r="Y10" s="17" t="s">
        <v>363</v>
      </c>
      <c r="Z10" s="17" t="s">
        <v>364</v>
      </c>
      <c r="AA10" s="17" t="s">
        <v>365</v>
      </c>
      <c r="AB10" s="17" t="s">
        <v>106</v>
      </c>
    </row>
    <row r="11" spans="1:28">
      <c r="A11" t="s">
        <v>153</v>
      </c>
      <c r="B11" s="19" t="s">
        <v>175</v>
      </c>
      <c r="C11" s="17" t="s">
        <v>366</v>
      </c>
      <c r="D11" s="20" t="s">
        <v>367</v>
      </c>
      <c r="E11" s="21" t="str">
        <f>IF(zzz_20261002_Jars[[#This Row],[Jar Type]]="", "", TEXT(_xlfn.XLOOKUP(zzz_20261002_Jars[[#This Row],[Jar Type]], Containers!A:A, Containers!C:C), "General"))</f>
        <v>1892.7</v>
      </c>
      <c r="F11" s="19" t="s">
        <v>179</v>
      </c>
      <c r="G11" s="19" t="s">
        <v>368</v>
      </c>
      <c r="H11" s="19" t="s">
        <v>369</v>
      </c>
      <c r="I11" s="19" t="str" cm="1">
        <f t="array" ref="I1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1" s="19" t="str" cm="1">
        <f t="array" ref="J1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1" s="17" t="s">
        <v>370</v>
      </c>
      <c r="L11" s="17" t="s">
        <v>14</v>
      </c>
      <c r="M11" s="17" t="s">
        <v>14</v>
      </c>
      <c r="N11" s="17" t="s">
        <v>371</v>
      </c>
      <c r="O11" t="s">
        <v>155</v>
      </c>
      <c r="P11" s="17" t="s">
        <v>372</v>
      </c>
      <c r="Q11" s="17" t="s">
        <v>373</v>
      </c>
      <c r="R1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1" s="17" t="s">
        <v>14</v>
      </c>
      <c r="T11" s="19" t="s">
        <v>179</v>
      </c>
      <c r="U11" s="17" t="s">
        <v>374</v>
      </c>
      <c r="V11" s="17" cm="1">
        <f t="array" ref="V1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1" s="17" cm="1">
        <f t="array" ref="W1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1.48</v>
      </c>
      <c r="X11" s="1" t="s">
        <v>375</v>
      </c>
      <c r="Y11" s="1" t="s">
        <v>376</v>
      </c>
      <c r="Z11" s="17" t="s">
        <v>377</v>
      </c>
      <c r="AA11" s="17" t="s">
        <v>378</v>
      </c>
    </row>
    <row r="12" spans="1:28">
      <c r="A12" t="s">
        <v>157</v>
      </c>
      <c r="B12" s="19" t="s">
        <v>175</v>
      </c>
      <c r="C12" s="17" t="s">
        <v>379</v>
      </c>
      <c r="D12" s="20" t="s">
        <v>367</v>
      </c>
      <c r="E12" s="21" t="str">
        <f>IF(zzz_20261002_Jars[[#This Row],[Jar Type]]="", "", TEXT(_xlfn.XLOOKUP(zzz_20261002_Jars[[#This Row],[Jar Type]], Containers!A:A, Containers!C:C), "General"))</f>
        <v>1892.7</v>
      </c>
      <c r="F12" s="19" t="s">
        <v>179</v>
      </c>
      <c r="G12" s="19" t="s">
        <v>368</v>
      </c>
      <c r="H12" s="20" t="s">
        <v>369</v>
      </c>
      <c r="I12" s="20" t="str" cm="1">
        <f t="array" ref="I1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2" s="20" t="str" cm="1">
        <f t="array" ref="J1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2" s="17" t="s">
        <v>370</v>
      </c>
      <c r="L12" s="17" t="s">
        <v>14</v>
      </c>
      <c r="M12" s="17" t="s">
        <v>14</v>
      </c>
      <c r="N12" s="17" t="s">
        <v>371</v>
      </c>
      <c r="O12" t="s">
        <v>155</v>
      </c>
      <c r="P12" s="17" t="s">
        <v>372</v>
      </c>
      <c r="Q12" s="17" t="s">
        <v>380</v>
      </c>
      <c r="R1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2" s="17" t="s">
        <v>14</v>
      </c>
      <c r="T12" s="17" t="s">
        <v>179</v>
      </c>
      <c r="U12" s="17" t="s">
        <v>374</v>
      </c>
      <c r="V12" s="17" cm="1">
        <f t="array" ref="V1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2" s="17" cm="1">
        <f t="array" ref="W1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1.48</v>
      </c>
      <c r="X12" s="1" t="s">
        <v>375</v>
      </c>
      <c r="Y12" s="1" t="s">
        <v>381</v>
      </c>
      <c r="Z12" s="17" t="s">
        <v>377</v>
      </c>
      <c r="AA12" s="20" t="s">
        <v>378</v>
      </c>
      <c r="AB12" s="20"/>
    </row>
    <row r="13" spans="1:28">
      <c r="A13" t="s">
        <v>161</v>
      </c>
      <c r="B13" s="19" t="s">
        <v>175</v>
      </c>
      <c r="C13" s="17" t="s">
        <v>382</v>
      </c>
      <c r="D13" s="20" t="s">
        <v>367</v>
      </c>
      <c r="E13" s="21" t="str">
        <f>IF(zzz_20261002_Jars[[#This Row],[Jar Type]]="", "", TEXT(_xlfn.XLOOKUP(zzz_20261002_Jars[[#This Row],[Jar Type]], Containers!A:A, Containers!C:C), "General"))</f>
        <v>1892.7</v>
      </c>
      <c r="F13" s="19" t="s">
        <v>179</v>
      </c>
      <c r="G13" s="19" t="s">
        <v>368</v>
      </c>
      <c r="H13" s="20" t="s">
        <v>369</v>
      </c>
      <c r="I13" s="20" t="str" cm="1">
        <f t="array" ref="I1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3" s="20" t="str" cm="1">
        <f t="array" ref="J1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3" s="17" t="s">
        <v>383</v>
      </c>
      <c r="L13" s="17" t="s">
        <v>14</v>
      </c>
      <c r="M13" s="17" t="s">
        <v>14</v>
      </c>
      <c r="N13" s="17" t="s">
        <v>384</v>
      </c>
      <c r="O13" t="s">
        <v>155</v>
      </c>
      <c r="P13" s="17" t="s">
        <v>385</v>
      </c>
      <c r="Q13" s="17" t="s">
        <v>386</v>
      </c>
      <c r="R1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3" s="17" t="s">
        <v>14</v>
      </c>
      <c r="T13" s="17" t="s">
        <v>179</v>
      </c>
      <c r="U13" s="17" t="s">
        <v>374</v>
      </c>
      <c r="V13" s="17" cm="1">
        <f t="array" ref="V1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3" s="17" cm="1">
        <f t="array" ref="W1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1.1100000000000001</v>
      </c>
      <c r="X13" s="1" t="s">
        <v>387</v>
      </c>
      <c r="Y13" s="1" t="s">
        <v>388</v>
      </c>
      <c r="Z13" s="17" t="s">
        <v>377</v>
      </c>
      <c r="AA13" s="17" t="s">
        <v>378</v>
      </c>
      <c r="AB13" s="20"/>
    </row>
    <row r="14" spans="1:28">
      <c r="A14" t="s">
        <v>389</v>
      </c>
      <c r="B14" s="19" t="s">
        <v>175</v>
      </c>
      <c r="C14" s="17" t="s">
        <v>390</v>
      </c>
      <c r="D14" s="20" t="s">
        <v>367</v>
      </c>
      <c r="E14" s="21" t="str">
        <f>IF(zzz_20261002_Jars[[#This Row],[Jar Type]]="", "", TEXT(_xlfn.XLOOKUP(zzz_20261002_Jars[[#This Row],[Jar Type]], Containers!A:A, Containers!C:C), "General"))</f>
        <v>1892.7</v>
      </c>
      <c r="F14" s="19" t="s">
        <v>179</v>
      </c>
      <c r="G14" s="19" t="s">
        <v>368</v>
      </c>
      <c r="H14" s="20" t="s">
        <v>369</v>
      </c>
      <c r="I14" s="20" t="str" cm="1">
        <f t="array" ref="I1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4" s="20" t="str" cm="1">
        <f t="array" ref="J1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4" s="17" t="s">
        <v>383</v>
      </c>
      <c r="L14" s="17" t="s">
        <v>14</v>
      </c>
      <c r="M14" s="17" t="s">
        <v>14</v>
      </c>
      <c r="N14" s="17" t="s">
        <v>391</v>
      </c>
      <c r="O14" t="s">
        <v>155</v>
      </c>
      <c r="P14" s="17" t="s">
        <v>372</v>
      </c>
      <c r="Q14" s="17" t="s">
        <v>392</v>
      </c>
      <c r="R1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4" s="17" t="s">
        <v>14</v>
      </c>
      <c r="T14" s="17" t="s">
        <v>179</v>
      </c>
      <c r="U14" s="17" t="s">
        <v>374</v>
      </c>
      <c r="V14" s="17" cm="1">
        <f t="array" ref="V1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4" s="17" cm="1">
        <f t="array" ref="W1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1.44</v>
      </c>
      <c r="X14" s="1" t="s">
        <v>387</v>
      </c>
      <c r="Y14" s="1" t="s">
        <v>178</v>
      </c>
      <c r="Z14" s="17" t="s">
        <v>377</v>
      </c>
      <c r="AA14" s="17" t="s">
        <v>378</v>
      </c>
      <c r="AB14" s="20"/>
    </row>
    <row r="15" spans="1:28">
      <c r="A15" t="s">
        <v>326</v>
      </c>
      <c r="B15" s="19" t="s">
        <v>175</v>
      </c>
      <c r="C15" s="17" t="s">
        <v>393</v>
      </c>
      <c r="D15" s="20" t="s">
        <v>367</v>
      </c>
      <c r="E15" s="21" t="str">
        <f>IF(zzz_20261002_Jars[[#This Row],[Jar Type]]="", "", TEXT(_xlfn.XLOOKUP(zzz_20261002_Jars[[#This Row],[Jar Type]], Containers!A:A, Containers!C:C), "General"))</f>
        <v>1892.7</v>
      </c>
      <c r="F15" s="19" t="s">
        <v>179</v>
      </c>
      <c r="G15" s="19" t="s">
        <v>394</v>
      </c>
      <c r="H15" s="20" t="s">
        <v>369</v>
      </c>
      <c r="I15" s="20" t="str" cm="1">
        <f t="array" ref="I1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5" s="20" t="str" cm="1">
        <f t="array" ref="J1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5" s="17" t="s">
        <v>383</v>
      </c>
      <c r="L15" s="17" t="s">
        <v>14</v>
      </c>
      <c r="M15" s="17" t="s">
        <v>14</v>
      </c>
      <c r="N15" s="17" t="s">
        <v>395</v>
      </c>
      <c r="O15" t="s">
        <v>155</v>
      </c>
      <c r="P15" s="17" t="s">
        <v>372</v>
      </c>
      <c r="Q15" s="17" t="s">
        <v>396</v>
      </c>
      <c r="R15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5" s="17" t="s">
        <v>14</v>
      </c>
      <c r="T15" s="17" t="s">
        <v>179</v>
      </c>
      <c r="U15" s="17" t="s">
        <v>374</v>
      </c>
      <c r="V15" s="17" cm="1">
        <f t="array" ref="V1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15" s="17" cm="1">
        <f t="array" ref="W1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15" s="1" t="s">
        <v>385</v>
      </c>
      <c r="Y15" s="2" t="s">
        <v>397</v>
      </c>
      <c r="Z15" s="17" t="s">
        <v>377</v>
      </c>
      <c r="AA15" s="17" t="s">
        <v>378</v>
      </c>
    </row>
    <row r="16" spans="1:28">
      <c r="A16" t="s">
        <v>398</v>
      </c>
      <c r="B16" s="19" t="s">
        <v>175</v>
      </c>
      <c r="C16" s="17" t="s">
        <v>399</v>
      </c>
      <c r="D16" s="20" t="s">
        <v>367</v>
      </c>
      <c r="E16" s="21" t="str">
        <f>IF(zzz_20261002_Jars[[#This Row],[Jar Type]]="", "", TEXT(_xlfn.XLOOKUP(zzz_20261002_Jars[[#This Row],[Jar Type]], Containers!A:A, Containers!C:C), "General"))</f>
        <v>1892.7</v>
      </c>
      <c r="F16" s="19" t="s">
        <v>179</v>
      </c>
      <c r="G16" s="19" t="s">
        <v>400</v>
      </c>
      <c r="H16" s="20" t="s">
        <v>369</v>
      </c>
      <c r="I16" s="20" t="str" cm="1">
        <f t="array" ref="I1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6" s="20" t="str" cm="1">
        <f t="array" ref="J1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6" s="17" t="s">
        <v>370</v>
      </c>
      <c r="L16" s="17" t="s">
        <v>14</v>
      </c>
      <c r="M16" s="17" t="s">
        <v>14</v>
      </c>
      <c r="N16" s="17" t="s">
        <v>401</v>
      </c>
      <c r="O16" t="s">
        <v>155</v>
      </c>
      <c r="P16" s="17" t="s">
        <v>385</v>
      </c>
      <c r="Q16" s="17" t="s">
        <v>402</v>
      </c>
      <c r="R1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6" s="17" t="s">
        <v>14</v>
      </c>
      <c r="T16" s="17" t="s">
        <v>179</v>
      </c>
      <c r="U16" s="17" t="s">
        <v>374</v>
      </c>
      <c r="V16" s="17" cm="1">
        <f t="array" ref="V1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6" s="17" cm="1">
        <f t="array" ref="W1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</v>
      </c>
      <c r="X16" s="1" t="s">
        <v>375</v>
      </c>
      <c r="Y16" s="2" t="s">
        <v>403</v>
      </c>
      <c r="Z16" s="17" t="s">
        <v>377</v>
      </c>
      <c r="AA16" s="17" t="s">
        <v>378</v>
      </c>
      <c r="AB16" s="20"/>
    </row>
    <row r="17" spans="1:28">
      <c r="A17" t="s">
        <v>404</v>
      </c>
      <c r="B17" s="19" t="s">
        <v>175</v>
      </c>
      <c r="C17" s="17" t="s">
        <v>405</v>
      </c>
      <c r="D17" s="20" t="s">
        <v>367</v>
      </c>
      <c r="E17" s="21" t="str">
        <f>IF(zzz_20261002_Jars[[#This Row],[Jar Type]]="", "", TEXT(_xlfn.XLOOKUP(zzz_20261002_Jars[[#This Row],[Jar Type]], Containers!A:A, Containers!C:C), "General"))</f>
        <v>1892.7</v>
      </c>
      <c r="F17" s="19" t="s">
        <v>179</v>
      </c>
      <c r="G17" s="19" t="s">
        <v>400</v>
      </c>
      <c r="H17" s="20" t="s">
        <v>369</v>
      </c>
      <c r="I17" s="20" t="str" cm="1">
        <f t="array" ref="I1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7" s="20" t="str" cm="1">
        <f t="array" ref="J1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7" s="17" t="s">
        <v>370</v>
      </c>
      <c r="L17" s="17" t="s">
        <v>14</v>
      </c>
      <c r="M17" s="17" t="s">
        <v>14</v>
      </c>
      <c r="N17" s="17" t="s">
        <v>406</v>
      </c>
      <c r="O17" t="s">
        <v>155</v>
      </c>
      <c r="P17" s="19" t="s">
        <v>372</v>
      </c>
      <c r="Q17" s="17" t="s">
        <v>407</v>
      </c>
      <c r="R1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7" s="17" t="s">
        <v>14</v>
      </c>
      <c r="T17" s="17" t="s">
        <v>179</v>
      </c>
      <c r="U17" s="17" t="s">
        <v>374</v>
      </c>
      <c r="V17" s="17" cm="1">
        <f t="array" ref="V1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7" s="17" cm="1">
        <f t="array" ref="W1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1.43</v>
      </c>
      <c r="X17" s="1" t="s">
        <v>375</v>
      </c>
      <c r="Y17" s="2" t="s">
        <v>408</v>
      </c>
      <c r="Z17" s="17" t="s">
        <v>377</v>
      </c>
      <c r="AA17" s="17" t="s">
        <v>378</v>
      </c>
      <c r="AB17" s="20"/>
    </row>
    <row r="18" spans="1:28">
      <c r="A18" t="s">
        <v>409</v>
      </c>
      <c r="B18" s="19" t="s">
        <v>175</v>
      </c>
      <c r="C18" s="17" t="s">
        <v>410</v>
      </c>
      <c r="D18" s="20" t="s">
        <v>367</v>
      </c>
      <c r="E18" s="21" t="str">
        <f>IF(zzz_20261002_Jars[[#This Row],[Jar Type]]="", "", TEXT(_xlfn.XLOOKUP(zzz_20261002_Jars[[#This Row],[Jar Type]], Containers!A:A, Containers!C:C), "General"))</f>
        <v>1892.7</v>
      </c>
      <c r="F18" s="19" t="s">
        <v>179</v>
      </c>
      <c r="G18" s="19" t="s">
        <v>400</v>
      </c>
      <c r="H18" s="20" t="s">
        <v>369</v>
      </c>
      <c r="I18" s="20" t="str" cm="1">
        <f t="array" ref="I1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8" s="20" t="str" cm="1">
        <f t="array" ref="J1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8" s="17" t="s">
        <v>370</v>
      </c>
      <c r="L18" s="17" t="s">
        <v>14</v>
      </c>
      <c r="M18" s="17" t="s">
        <v>14</v>
      </c>
      <c r="N18" s="17" t="s">
        <v>411</v>
      </c>
      <c r="O18" t="s">
        <v>155</v>
      </c>
      <c r="P18" s="17" t="s">
        <v>372</v>
      </c>
      <c r="Q18" s="17" t="s">
        <v>412</v>
      </c>
      <c r="R1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8" s="17" t="s">
        <v>14</v>
      </c>
      <c r="T18" s="17" t="s">
        <v>179</v>
      </c>
      <c r="U18" s="17" t="s">
        <v>374</v>
      </c>
      <c r="V18" s="17" cm="1">
        <f t="array" ref="V1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18" s="17" cm="1">
        <f t="array" ref="W1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1.37</v>
      </c>
      <c r="X18" s="1" t="s">
        <v>375</v>
      </c>
      <c r="Y18" s="2" t="s">
        <v>413</v>
      </c>
      <c r="Z18" s="17" t="s">
        <v>377</v>
      </c>
      <c r="AA18" s="17" t="s">
        <v>378</v>
      </c>
      <c r="AB18" s="20"/>
    </row>
    <row r="19" spans="1:28">
      <c r="A19" t="s">
        <v>414</v>
      </c>
      <c r="B19" s="19" t="s">
        <v>175</v>
      </c>
      <c r="C19" s="17" t="s">
        <v>415</v>
      </c>
      <c r="D19" s="20" t="s">
        <v>367</v>
      </c>
      <c r="E19" s="21" t="str">
        <f>IF(zzz_20261002_Jars[[#This Row],[Jar Type]]="", "", TEXT(_xlfn.XLOOKUP(zzz_20261002_Jars[[#This Row],[Jar Type]], Containers!A:A, Containers!C:C), "General"))</f>
        <v>1892.7</v>
      </c>
      <c r="F19" s="19" t="s">
        <v>179</v>
      </c>
      <c r="G19" s="19" t="s">
        <v>400</v>
      </c>
      <c r="H19" s="20" t="s">
        <v>369</v>
      </c>
      <c r="I19" s="20" t="str" cm="1">
        <f t="array" ref="I1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19" s="20" t="str" cm="1">
        <f t="array" ref="J1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19" s="17" t="s">
        <v>370</v>
      </c>
      <c r="L19" s="17" t="s">
        <v>14</v>
      </c>
      <c r="M19" s="17" t="s">
        <v>14</v>
      </c>
      <c r="N19" s="17" t="s">
        <v>416</v>
      </c>
      <c r="O19" t="s">
        <v>155</v>
      </c>
      <c r="P19" s="17" t="s">
        <v>375</v>
      </c>
      <c r="Q19" s="17" t="s">
        <v>417</v>
      </c>
      <c r="R19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19" s="19" t="s">
        <v>153</v>
      </c>
      <c r="T19" s="19" t="s">
        <v>179</v>
      </c>
      <c r="U19" s="19" t="s">
        <v>374</v>
      </c>
      <c r="V19" s="19" cm="1">
        <f t="array" ref="V1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1751</v>
      </c>
      <c r="W19" s="19" cm="1">
        <f t="array" ref="W1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1.49</v>
      </c>
      <c r="X19" s="1" t="s">
        <v>418</v>
      </c>
      <c r="Y19" s="2" t="s">
        <v>419</v>
      </c>
      <c r="Z19" s="17" t="s">
        <v>377</v>
      </c>
      <c r="AA19" s="17" t="s">
        <v>378</v>
      </c>
      <c r="AB19" s="17" t="s">
        <v>420</v>
      </c>
    </row>
    <row r="20" spans="1:28">
      <c r="A20" t="s">
        <v>327</v>
      </c>
      <c r="B20" s="19" t="s">
        <v>175</v>
      </c>
      <c r="C20" s="17" t="s">
        <v>421</v>
      </c>
      <c r="D20" s="20" t="s">
        <v>367</v>
      </c>
      <c r="E20" s="21" t="str">
        <f>IF(zzz_20261002_Jars[[#This Row],[Jar Type]]="", "", TEXT(_xlfn.XLOOKUP(zzz_20261002_Jars[[#This Row],[Jar Type]], Containers!A:A, Containers!C:C), "General"))</f>
        <v>1892.7</v>
      </c>
      <c r="F20" s="19" t="s">
        <v>179</v>
      </c>
      <c r="G20" s="19" t="s">
        <v>422</v>
      </c>
      <c r="H20" s="20" t="s">
        <v>369</v>
      </c>
      <c r="I20" s="20" t="str" cm="1">
        <f t="array" ref="I2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0" s="20" t="str" cm="1">
        <f t="array" ref="J2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0" s="17" t="s">
        <v>383</v>
      </c>
      <c r="L20" s="17" t="s">
        <v>14</v>
      </c>
      <c r="M20" s="17" t="s">
        <v>14</v>
      </c>
      <c r="N20" s="17" t="s">
        <v>395</v>
      </c>
      <c r="O20" t="s">
        <v>155</v>
      </c>
      <c r="P20" s="17" t="s">
        <v>387</v>
      </c>
      <c r="Q20" s="17" t="s">
        <v>423</v>
      </c>
      <c r="R2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0" s="17" t="s">
        <v>14</v>
      </c>
      <c r="T20" s="17" t="s">
        <v>179</v>
      </c>
      <c r="U20" s="17" t="s">
        <v>374</v>
      </c>
      <c r="V20" s="17" cm="1">
        <f t="array" ref="V2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0" s="17" cm="1">
        <f t="array" ref="W2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20" s="1" t="s">
        <v>14</v>
      </c>
      <c r="Y20" s="3" t="s">
        <v>14</v>
      </c>
      <c r="Z20" s="17" t="s">
        <v>377</v>
      </c>
      <c r="AA20" s="17" t="s">
        <v>378</v>
      </c>
    </row>
    <row r="21" spans="1:28">
      <c r="A21" t="s">
        <v>424</v>
      </c>
      <c r="B21" s="19" t="s">
        <v>175</v>
      </c>
      <c r="C21" s="17" t="s">
        <v>425</v>
      </c>
      <c r="D21" s="20" t="s">
        <v>367</v>
      </c>
      <c r="E21" s="21" t="str">
        <f>IF(zzz_20261002_Jars[[#This Row],[Jar Type]]="", "", TEXT(_xlfn.XLOOKUP(zzz_20261002_Jars[[#This Row],[Jar Type]], Containers!A:A, Containers!C:C), "General"))</f>
        <v>1892.7</v>
      </c>
      <c r="F21" s="19" t="s">
        <v>179</v>
      </c>
      <c r="G21" s="19" t="s">
        <v>422</v>
      </c>
      <c r="H21" s="20" t="s">
        <v>369</v>
      </c>
      <c r="I21" s="20" t="str" cm="1">
        <f t="array" ref="I2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1" s="20" t="str" cm="1">
        <f t="array" ref="J2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1" s="17" t="s">
        <v>383</v>
      </c>
      <c r="L21" s="17" t="s">
        <v>14</v>
      </c>
      <c r="M21" s="17" t="s">
        <v>14</v>
      </c>
      <c r="N21" s="17" t="s">
        <v>395</v>
      </c>
      <c r="O21" t="s">
        <v>155</v>
      </c>
      <c r="P21" s="17" t="s">
        <v>375</v>
      </c>
      <c r="Q21" s="17" t="s">
        <v>426</v>
      </c>
      <c r="R2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1" s="17" t="s">
        <v>14</v>
      </c>
      <c r="T21" s="17" t="s">
        <v>179</v>
      </c>
      <c r="U21" s="17" t="s">
        <v>374</v>
      </c>
      <c r="V21" s="17" cm="1">
        <f t="array" ref="V2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1" s="17" cm="1">
        <f t="array" ref="W2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1.39</v>
      </c>
      <c r="X21" s="1" t="s">
        <v>375</v>
      </c>
      <c r="Y21" s="2" t="s">
        <v>427</v>
      </c>
      <c r="Z21" s="17" t="s">
        <v>377</v>
      </c>
      <c r="AA21" s="17" t="s">
        <v>378</v>
      </c>
      <c r="AB21" s="20"/>
    </row>
    <row r="22" spans="1:28">
      <c r="A22" t="s">
        <v>428</v>
      </c>
      <c r="B22" s="19" t="s">
        <v>175</v>
      </c>
      <c r="C22" s="17" t="s">
        <v>429</v>
      </c>
      <c r="D22" s="20" t="s">
        <v>367</v>
      </c>
      <c r="E22" s="21" t="str">
        <f>IF(zzz_20261002_Jars[[#This Row],[Jar Type]]="", "", TEXT(_xlfn.XLOOKUP(zzz_20261002_Jars[[#This Row],[Jar Type]], Containers!A:A, Containers!C:C), "General"))</f>
        <v>1892.7</v>
      </c>
      <c r="F22" s="19" t="s">
        <v>179</v>
      </c>
      <c r="G22" s="19" t="s">
        <v>422</v>
      </c>
      <c r="H22" s="20" t="s">
        <v>369</v>
      </c>
      <c r="I22" s="20" t="str" cm="1">
        <f t="array" ref="I2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2" s="20" t="str" cm="1">
        <f t="array" ref="J2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2" s="17" t="s">
        <v>383</v>
      </c>
      <c r="L22" s="17" t="s">
        <v>14</v>
      </c>
      <c r="M22" s="17" t="s">
        <v>14</v>
      </c>
      <c r="N22" s="17" t="s">
        <v>430</v>
      </c>
      <c r="O22" t="s">
        <v>155</v>
      </c>
      <c r="P22" s="17" t="s">
        <v>387</v>
      </c>
      <c r="Q22" s="17" t="s">
        <v>431</v>
      </c>
      <c r="R2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2" s="17" t="s">
        <v>14</v>
      </c>
      <c r="T22" s="17" t="s">
        <v>179</v>
      </c>
      <c r="U22" s="17" t="s">
        <v>374</v>
      </c>
      <c r="V22" s="17" cm="1">
        <f t="array" ref="V2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2" s="17" cm="1">
        <f t="array" ref="W2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1.41</v>
      </c>
      <c r="X22" s="3" t="s">
        <v>14</v>
      </c>
      <c r="Y22" s="3" t="s">
        <v>14</v>
      </c>
      <c r="Z22" s="17" t="s">
        <v>377</v>
      </c>
      <c r="AA22" s="17" t="s">
        <v>378</v>
      </c>
    </row>
    <row r="23" spans="1:28">
      <c r="A23" t="s">
        <v>432</v>
      </c>
      <c r="B23" s="19" t="s">
        <v>175</v>
      </c>
      <c r="C23" s="17" t="s">
        <v>433</v>
      </c>
      <c r="D23" s="20" t="s">
        <v>367</v>
      </c>
      <c r="E23" s="21" t="str">
        <f>IF(zzz_20261002_Jars[[#This Row],[Jar Type]]="", "", TEXT(_xlfn.XLOOKUP(zzz_20261002_Jars[[#This Row],[Jar Type]], Containers!A:A, Containers!C:C), "General"))</f>
        <v>1892.7</v>
      </c>
      <c r="F23" s="19" t="s">
        <v>179</v>
      </c>
      <c r="G23" s="19" t="s">
        <v>422</v>
      </c>
      <c r="H23" s="20" t="s">
        <v>369</v>
      </c>
      <c r="I23" s="20" t="str" cm="1">
        <f t="array" ref="I2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3" s="20" t="str" cm="1">
        <f t="array" ref="J2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3" s="17" t="s">
        <v>383</v>
      </c>
      <c r="L23" s="17" t="s">
        <v>14</v>
      </c>
      <c r="M23" s="17" t="s">
        <v>14</v>
      </c>
      <c r="N23" s="17" t="s">
        <v>434</v>
      </c>
      <c r="O23" t="s">
        <v>155</v>
      </c>
      <c r="P23" s="17" t="s">
        <v>387</v>
      </c>
      <c r="Q23" s="17" t="s">
        <v>435</v>
      </c>
      <c r="R2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3" s="17" t="s">
        <v>14</v>
      </c>
      <c r="T23" s="17" t="s">
        <v>179</v>
      </c>
      <c r="U23" s="17" t="s">
        <v>374</v>
      </c>
      <c r="V23" s="17" cm="1">
        <f t="array" ref="V2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3" s="17" cm="1">
        <f t="array" ref="W2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</v>
      </c>
      <c r="X23" s="1" t="s">
        <v>375</v>
      </c>
      <c r="Y23" s="2" t="s">
        <v>436</v>
      </c>
      <c r="Z23" s="17" t="s">
        <v>377</v>
      </c>
      <c r="AA23" s="17" t="s">
        <v>378</v>
      </c>
      <c r="AB23" s="20"/>
    </row>
    <row r="24" spans="1:28">
      <c r="A24" t="s">
        <v>437</v>
      </c>
      <c r="B24" s="19" t="s">
        <v>175</v>
      </c>
      <c r="C24" s="17" t="s">
        <v>438</v>
      </c>
      <c r="D24" s="20" t="s">
        <v>367</v>
      </c>
      <c r="E24" s="21" t="str">
        <f>IF(zzz_20261002_Jars[[#This Row],[Jar Type]]="", "", TEXT(_xlfn.XLOOKUP(zzz_20261002_Jars[[#This Row],[Jar Type]], Containers!A:A, Containers!C:C), "General"))</f>
        <v>1892.7</v>
      </c>
      <c r="F24" s="19" t="s">
        <v>179</v>
      </c>
      <c r="G24" s="19" t="s">
        <v>439</v>
      </c>
      <c r="H24" s="20" t="s">
        <v>369</v>
      </c>
      <c r="I24" s="20" t="str" cm="1">
        <f t="array" ref="I2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4" s="20" t="str" cm="1">
        <f t="array" ref="J2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4" s="17" t="s">
        <v>383</v>
      </c>
      <c r="L24" s="17" t="s">
        <v>14</v>
      </c>
      <c r="M24" s="17" t="s">
        <v>14</v>
      </c>
      <c r="N24" s="17" t="s">
        <v>401</v>
      </c>
      <c r="O24" t="s">
        <v>155</v>
      </c>
      <c r="P24" s="17" t="s">
        <v>387</v>
      </c>
      <c r="Q24" s="17" t="s">
        <v>440</v>
      </c>
      <c r="R2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4" s="17" t="s">
        <v>14</v>
      </c>
      <c r="T24" s="17" t="s">
        <v>179</v>
      </c>
      <c r="U24" s="17" t="s">
        <v>374</v>
      </c>
      <c r="V24" s="17" cm="1">
        <f t="array" ref="V2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4" s="17" cm="1">
        <f t="array" ref="W2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</v>
      </c>
      <c r="X24" s="1" t="s">
        <v>418</v>
      </c>
      <c r="Y24" s="2" t="s">
        <v>441</v>
      </c>
      <c r="Z24" s="17" t="s">
        <v>377</v>
      </c>
      <c r="AA24" s="17" t="s">
        <v>378</v>
      </c>
      <c r="AB24" s="20"/>
    </row>
    <row r="25" spans="1:28">
      <c r="A25" t="s">
        <v>442</v>
      </c>
      <c r="B25" s="19" t="s">
        <v>175</v>
      </c>
      <c r="C25" s="17" t="s">
        <v>443</v>
      </c>
      <c r="D25" s="20" t="s">
        <v>367</v>
      </c>
      <c r="E25" s="21" t="str">
        <f>IF(zzz_20261002_Jars[[#This Row],[Jar Type]]="", "", TEXT(_xlfn.XLOOKUP(zzz_20261002_Jars[[#This Row],[Jar Type]], Containers!A:A, Containers!C:C), "General"))</f>
        <v>1892.7</v>
      </c>
      <c r="F25" s="19" t="s">
        <v>179</v>
      </c>
      <c r="G25" s="19" t="s">
        <v>439</v>
      </c>
      <c r="H25" s="20" t="s">
        <v>369</v>
      </c>
      <c r="I25" s="20" t="str" cm="1">
        <f t="array" ref="I2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5" s="20" t="str" cm="1">
        <f t="array" ref="J2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5" s="17" t="s">
        <v>383</v>
      </c>
      <c r="L25" s="17" t="s">
        <v>14</v>
      </c>
      <c r="M25" s="17" t="s">
        <v>14</v>
      </c>
      <c r="N25" s="17" t="s">
        <v>391</v>
      </c>
      <c r="O25" t="s">
        <v>155</v>
      </c>
      <c r="P25" s="17" t="s">
        <v>372</v>
      </c>
      <c r="Q25" s="20" t="s">
        <v>440</v>
      </c>
      <c r="R25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5" s="19" t="s">
        <v>153</v>
      </c>
      <c r="T25" s="19" t="s">
        <v>179</v>
      </c>
      <c r="U25" s="19" t="s">
        <v>374</v>
      </c>
      <c r="V25" s="19" cm="1">
        <f t="array" ref="V2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5" s="19" cm="1">
        <f t="array" ref="W2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1.44</v>
      </c>
      <c r="X25" s="1" t="s">
        <v>444</v>
      </c>
      <c r="Y25" s="2" t="s">
        <v>445</v>
      </c>
      <c r="Z25" s="17" t="s">
        <v>377</v>
      </c>
      <c r="AA25" s="17" t="s">
        <v>378</v>
      </c>
      <c r="AB25" s="17" t="s">
        <v>420</v>
      </c>
    </row>
    <row r="26" spans="1:28">
      <c r="A26" t="s">
        <v>446</v>
      </c>
      <c r="B26" s="19" t="s">
        <v>175</v>
      </c>
      <c r="C26" s="17" t="s">
        <v>447</v>
      </c>
      <c r="D26" s="20" t="s">
        <v>367</v>
      </c>
      <c r="E26" s="21" t="str">
        <f>IF(zzz_20261002_Jars[[#This Row],[Jar Type]]="", "", TEXT(_xlfn.XLOOKUP(zzz_20261002_Jars[[#This Row],[Jar Type]], Containers!A:A, Containers!C:C), "General"))</f>
        <v>1892.7</v>
      </c>
      <c r="F26" s="19" t="s">
        <v>179</v>
      </c>
      <c r="G26" s="19" t="s">
        <v>439</v>
      </c>
      <c r="H26" s="20" t="s">
        <v>369</v>
      </c>
      <c r="I26" s="20" t="str" cm="1">
        <f t="array" ref="I2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6" s="20" t="str" cm="1">
        <f t="array" ref="J2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6" s="17" t="s">
        <v>383</v>
      </c>
      <c r="L26" s="17" t="s">
        <v>14</v>
      </c>
      <c r="M26" s="17" t="s">
        <v>14</v>
      </c>
      <c r="N26" s="17" t="s">
        <v>448</v>
      </c>
      <c r="O26" t="s">
        <v>155</v>
      </c>
      <c r="P26" s="17" t="s">
        <v>387</v>
      </c>
      <c r="Q26" s="20" t="s">
        <v>440</v>
      </c>
      <c r="R26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6" s="19" t="s">
        <v>153</v>
      </c>
      <c r="T26" s="19" t="s">
        <v>179</v>
      </c>
      <c r="U26" s="19" t="s">
        <v>374</v>
      </c>
      <c r="V26" s="19" cm="1">
        <f t="array" ref="V2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6" s="19" cm="1">
        <f t="array" ref="W2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1.55</v>
      </c>
      <c r="X26" s="1" t="s">
        <v>387</v>
      </c>
      <c r="Y26" s="2" t="s">
        <v>449</v>
      </c>
      <c r="Z26" s="17" t="s">
        <v>377</v>
      </c>
      <c r="AA26" s="17" t="s">
        <v>378</v>
      </c>
      <c r="AB26" s="17" t="s">
        <v>420</v>
      </c>
    </row>
    <row r="27" spans="1:28">
      <c r="A27" t="s">
        <v>450</v>
      </c>
      <c r="B27" s="19" t="s">
        <v>175</v>
      </c>
      <c r="C27" s="17" t="s">
        <v>451</v>
      </c>
      <c r="D27" s="20" t="s">
        <v>367</v>
      </c>
      <c r="E27" s="21" t="str">
        <f>IF(zzz_20261002_Jars[[#This Row],[Jar Type]]="", "", TEXT(_xlfn.XLOOKUP(zzz_20261002_Jars[[#This Row],[Jar Type]], Containers!A:A, Containers!C:C), "General"))</f>
        <v>1892.7</v>
      </c>
      <c r="F27" s="19" t="s">
        <v>179</v>
      </c>
      <c r="G27" s="19" t="s">
        <v>439</v>
      </c>
      <c r="H27" s="20" t="s">
        <v>369</v>
      </c>
      <c r="I27" s="20" t="str" cm="1">
        <f t="array" ref="I2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1700</v>
      </c>
      <c r="J27" s="20" t="str" cm="1">
        <f t="array" ref="J2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27" s="17" t="s">
        <v>383</v>
      </c>
      <c r="L27" s="17" t="s">
        <v>14</v>
      </c>
      <c r="M27" s="17" t="s">
        <v>14</v>
      </c>
      <c r="N27" s="17" t="s">
        <v>452</v>
      </c>
      <c r="O27" t="s">
        <v>155</v>
      </c>
      <c r="P27" s="17" t="s">
        <v>453</v>
      </c>
      <c r="Q27" s="20" t="s">
        <v>440</v>
      </c>
      <c r="R27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27" s="19" t="s">
        <v>153</v>
      </c>
      <c r="T27" s="19" t="s">
        <v>179</v>
      </c>
      <c r="U27" s="19" t="s">
        <v>374</v>
      </c>
      <c r="V27" s="19" cm="1">
        <f t="array" ref="V2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1701</v>
      </c>
      <c r="W27" s="19" cm="1">
        <f t="array" ref="W2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1.57</v>
      </c>
      <c r="X27" s="1" t="s">
        <v>387</v>
      </c>
      <c r="Y27" s="2" t="s">
        <v>454</v>
      </c>
      <c r="Z27" s="17" t="s">
        <v>377</v>
      </c>
      <c r="AA27" s="17" t="s">
        <v>378</v>
      </c>
      <c r="AB27" s="17" t="s">
        <v>455</v>
      </c>
    </row>
    <row r="28" spans="1:28">
      <c r="A28" t="s">
        <v>456</v>
      </c>
      <c r="B28" s="19" t="s">
        <v>175</v>
      </c>
      <c r="C28" s="17" t="s">
        <v>457</v>
      </c>
      <c r="D28" s="20" t="s">
        <v>458</v>
      </c>
      <c r="E28" s="21" t="str">
        <f>IF(zzz_20261002_Jars[[#This Row],[Jar Type]]="", "", TEXT(_xlfn.XLOOKUP(zzz_20261002_Jars[[#This Row],[Jar Type]], Containers!A:A, Containers!C:C), "General"))</f>
        <v>1892.7</v>
      </c>
      <c r="F28" s="19" t="s">
        <v>153</v>
      </c>
      <c r="G28" s="19" t="s">
        <v>459</v>
      </c>
      <c r="H28" s="20" t="s">
        <v>460</v>
      </c>
      <c r="I28" s="20" t="str" cm="1">
        <f t="array" ref="I2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28" s="20" t="str" cm="1">
        <f t="array" ref="J2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28" s="17" t="s">
        <v>383</v>
      </c>
      <c r="L28" s="17" t="s">
        <v>14</v>
      </c>
      <c r="M28" s="17" t="s">
        <v>14</v>
      </c>
      <c r="N28" s="19" t="s">
        <v>461</v>
      </c>
      <c r="O28" t="s">
        <v>155</v>
      </c>
      <c r="P28" s="19" t="s">
        <v>453</v>
      </c>
      <c r="Q28" s="19" t="s">
        <v>462</v>
      </c>
      <c r="R28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28" s="17" t="s">
        <v>14</v>
      </c>
      <c r="T28" s="17" t="s">
        <v>179</v>
      </c>
      <c r="U28" s="17" t="s">
        <v>374</v>
      </c>
      <c r="V28" s="17" cm="1">
        <f t="array" ref="V2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28" s="17" cm="1">
        <f t="array" ref="W2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1.77</v>
      </c>
      <c r="X28" s="19"/>
      <c r="Y28" s="19"/>
      <c r="Z28" s="17" t="s">
        <v>377</v>
      </c>
      <c r="AA28" s="17" t="s">
        <v>378</v>
      </c>
    </row>
    <row r="29" spans="1:28">
      <c r="A29" t="s">
        <v>463</v>
      </c>
      <c r="B29" s="19" t="s">
        <v>175</v>
      </c>
      <c r="C29" s="17" t="s">
        <v>464</v>
      </c>
      <c r="D29" s="20" t="s">
        <v>458</v>
      </c>
      <c r="E29" s="21" t="str">
        <f>IF(zzz_20261002_Jars[[#This Row],[Jar Type]]="", "", TEXT(_xlfn.XLOOKUP(zzz_20261002_Jars[[#This Row],[Jar Type]], Containers!A:A, Containers!C:C), "General"))</f>
        <v>1892.7</v>
      </c>
      <c r="F29" s="19" t="s">
        <v>153</v>
      </c>
      <c r="G29" s="21" t="s">
        <v>459</v>
      </c>
      <c r="H29" s="20" t="s">
        <v>460</v>
      </c>
      <c r="I29" s="20" t="str" cm="1">
        <f t="array" ref="I2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29" s="20" t="str" cm="1">
        <f t="array" ref="J2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29" s="17" t="s">
        <v>465</v>
      </c>
      <c r="L29" s="17" t="s">
        <v>14</v>
      </c>
      <c r="M29" s="17" t="s">
        <v>14</v>
      </c>
      <c r="N29" s="19" t="s">
        <v>466</v>
      </c>
      <c r="O29" t="s">
        <v>155</v>
      </c>
      <c r="P29" s="21" t="s">
        <v>453</v>
      </c>
      <c r="Q29" s="19" t="s">
        <v>467</v>
      </c>
      <c r="R29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29" s="17" t="s">
        <v>14</v>
      </c>
      <c r="T29" s="17" t="s">
        <v>179</v>
      </c>
      <c r="U29" s="17" t="s">
        <v>374</v>
      </c>
      <c r="V29" s="17" cm="1">
        <f t="array" ref="V2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1650</v>
      </c>
      <c r="W29" s="17" cm="1">
        <f t="array" ref="W2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1.72</v>
      </c>
      <c r="X29" s="19"/>
      <c r="Y29" s="19"/>
      <c r="Z29" s="17" t="s">
        <v>377</v>
      </c>
      <c r="AA29" s="17" t="s">
        <v>378</v>
      </c>
    </row>
    <row r="30" spans="1:28">
      <c r="A30" t="s">
        <v>468</v>
      </c>
      <c r="B30" s="19" t="s">
        <v>175</v>
      </c>
      <c r="C30" s="17" t="s">
        <v>468</v>
      </c>
      <c r="D30" s="20" t="s">
        <v>458</v>
      </c>
      <c r="E30" s="21" t="str">
        <f>IF(zzz_20261002_Jars[[#This Row],[Jar Type]]="", "", TEXT(_xlfn.XLOOKUP(zzz_20261002_Jars[[#This Row],[Jar Type]], Containers!A:A, Containers!C:C), "General"))</f>
        <v>1892.7</v>
      </c>
      <c r="F30" s="19" t="s">
        <v>153</v>
      </c>
      <c r="G30" s="21" t="s">
        <v>459</v>
      </c>
      <c r="H30" s="20" t="s">
        <v>460</v>
      </c>
      <c r="I30" s="20" t="str" cm="1">
        <f t="array" ref="I3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0" s="20" t="str" cm="1">
        <f t="array" ref="J3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0" s="17" t="s">
        <v>469</v>
      </c>
      <c r="L30" s="17" t="s">
        <v>14</v>
      </c>
      <c r="M30" s="17" t="s">
        <v>14</v>
      </c>
      <c r="N30" s="19" t="s">
        <v>470</v>
      </c>
      <c r="O30" t="s">
        <v>155</v>
      </c>
      <c r="P30" s="21" t="s">
        <v>453</v>
      </c>
      <c r="Q30" s="19" t="s">
        <v>471</v>
      </c>
      <c r="R30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0" s="17" t="s">
        <v>14</v>
      </c>
      <c r="T30" s="17" t="s">
        <v>179</v>
      </c>
      <c r="U30" s="17" t="s">
        <v>374</v>
      </c>
      <c r="V30" s="17" cm="1">
        <f t="array" ref="V3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1600</v>
      </c>
      <c r="W30" s="17" cm="1">
        <f t="array" ref="W3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1.67</v>
      </c>
      <c r="X30" s="19"/>
      <c r="Y30" s="19"/>
      <c r="Z30" s="17" t="s">
        <v>377</v>
      </c>
      <c r="AA30" s="17" t="s">
        <v>378</v>
      </c>
    </row>
    <row r="31" spans="1:28">
      <c r="A31" t="s">
        <v>472</v>
      </c>
      <c r="B31" s="19" t="s">
        <v>175</v>
      </c>
      <c r="C31" s="17" t="s">
        <v>464</v>
      </c>
      <c r="D31" s="20" t="s">
        <v>458</v>
      </c>
      <c r="E31" s="21" t="str">
        <f>IF(zzz_20261002_Jars[[#This Row],[Jar Type]]="", "", TEXT(_xlfn.XLOOKUP(zzz_20261002_Jars[[#This Row],[Jar Type]], Containers!A:A, Containers!C:C), "General"))</f>
        <v>1892.7</v>
      </c>
      <c r="F31" s="19" t="s">
        <v>153</v>
      </c>
      <c r="G31" s="21" t="s">
        <v>459</v>
      </c>
      <c r="H31" s="20" t="s">
        <v>460</v>
      </c>
      <c r="I31" s="20" t="str" cm="1">
        <f t="array" ref="I3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1" s="20" t="str" cm="1">
        <f t="array" ref="J3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1" s="17" t="s">
        <v>473</v>
      </c>
      <c r="L31" s="17" t="s">
        <v>14</v>
      </c>
      <c r="M31" s="17" t="s">
        <v>14</v>
      </c>
      <c r="N31" s="19" t="s">
        <v>474</v>
      </c>
      <c r="O31" t="s">
        <v>155</v>
      </c>
      <c r="P31" s="21" t="s">
        <v>453</v>
      </c>
      <c r="Q31" s="19" t="s">
        <v>475</v>
      </c>
      <c r="R31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1" s="17" t="s">
        <v>14</v>
      </c>
      <c r="T31" s="17" t="s">
        <v>179</v>
      </c>
      <c r="U31" s="17" t="s">
        <v>374</v>
      </c>
      <c r="V31" s="17" cm="1">
        <f t="array" ref="V3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1550</v>
      </c>
      <c r="W31" s="17" cm="1">
        <f t="array" ref="W3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1.64</v>
      </c>
      <c r="X31" s="19"/>
      <c r="Y31" s="19"/>
      <c r="Z31" s="17" t="s">
        <v>377</v>
      </c>
      <c r="AA31" s="17" t="s">
        <v>378</v>
      </c>
    </row>
    <row r="32" spans="1:28">
      <c r="A32" t="s">
        <v>476</v>
      </c>
      <c r="B32" s="19" t="s">
        <v>175</v>
      </c>
      <c r="C32" s="17" t="s">
        <v>464</v>
      </c>
      <c r="D32" s="20" t="s">
        <v>458</v>
      </c>
      <c r="E32" s="21" t="str">
        <f>IF(zzz_20261002_Jars[[#This Row],[Jar Type]]="", "", TEXT(_xlfn.XLOOKUP(zzz_20261002_Jars[[#This Row],[Jar Type]], Containers!A:A, Containers!C:C), "General"))</f>
        <v>1892.7</v>
      </c>
      <c r="F32" s="19" t="s">
        <v>153</v>
      </c>
      <c r="G32" s="19" t="s">
        <v>477</v>
      </c>
      <c r="H32" s="20" t="s">
        <v>460</v>
      </c>
      <c r="I32" s="20" t="str" cm="1">
        <f t="array" ref="I3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2" s="20" t="str" cm="1">
        <f t="array" ref="J3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2" s="19" t="s">
        <v>370</v>
      </c>
      <c r="L32" s="17" t="s">
        <v>14</v>
      </c>
      <c r="M32" s="17" t="s">
        <v>14</v>
      </c>
      <c r="N32" s="19" t="s">
        <v>478</v>
      </c>
      <c r="O32" t="s">
        <v>155</v>
      </c>
      <c r="P32" s="17" t="s">
        <v>387</v>
      </c>
      <c r="Q32" s="19" t="s">
        <v>479</v>
      </c>
      <c r="R32" s="19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2" s="17" t="s">
        <v>14</v>
      </c>
      <c r="T32" s="17" t="s">
        <v>179</v>
      </c>
      <c r="U32" s="17" t="s">
        <v>374</v>
      </c>
      <c r="V32" s="17" cm="1">
        <f t="array" ref="V3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1750</v>
      </c>
      <c r="W32" s="17" cm="1">
        <f t="array" ref="W3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1.83</v>
      </c>
      <c r="X32" s="19"/>
      <c r="Y32" s="19"/>
      <c r="Z32" s="17" t="s">
        <v>377</v>
      </c>
      <c r="AA32" s="17" t="s">
        <v>378</v>
      </c>
    </row>
    <row r="33" spans="1:28">
      <c r="A33" t="s">
        <v>480</v>
      </c>
      <c r="B33" s="19" t="s">
        <v>177</v>
      </c>
      <c r="C33" s="19" t="s">
        <v>238</v>
      </c>
      <c r="D33" s="20" t="s">
        <v>481</v>
      </c>
      <c r="E33" s="17" t="str">
        <f>IF(zzz_20261002_Jars[[#This Row],[Jar Type]]="", "", TEXT(_xlfn.XLOOKUP(zzz_20261002_Jars[[#This Row],[Jar Type]], Containers!A:A, Containers!C:C), "General"))</f>
        <v>371</v>
      </c>
      <c r="F33" s="19" t="s">
        <v>153</v>
      </c>
      <c r="G33" s="19" t="s">
        <v>477</v>
      </c>
      <c r="H33" s="20" t="s">
        <v>460</v>
      </c>
      <c r="I33" s="20" t="str" cm="1">
        <f t="array" ref="I3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3" s="20" t="str" cm="1">
        <f t="array" ref="J3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0275</v>
      </c>
      <c r="K33" s="17" t="s">
        <v>482</v>
      </c>
      <c r="L33" s="17" t="s">
        <v>14</v>
      </c>
      <c r="M33" s="17" t="s">
        <v>14</v>
      </c>
      <c r="N33" s="19" t="s">
        <v>483</v>
      </c>
      <c r="O33" t="s">
        <v>155</v>
      </c>
      <c r="P33" s="20" t="s">
        <v>14</v>
      </c>
      <c r="Q33" s="20" t="s">
        <v>14</v>
      </c>
      <c r="R33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3" s="17" t="s">
        <v>14</v>
      </c>
      <c r="T33" s="17" t="s">
        <v>179</v>
      </c>
      <c r="U33" s="17" t="s">
        <v>374</v>
      </c>
      <c r="V33" s="17" cm="1">
        <f t="array" ref="V3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33" s="17" cm="1">
        <f t="array" ref="W3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0.23</v>
      </c>
      <c r="X33" s="20"/>
      <c r="Y33" s="20"/>
      <c r="Z33" s="17" t="s">
        <v>377</v>
      </c>
      <c r="AA33" s="17" t="s">
        <v>378</v>
      </c>
    </row>
    <row r="34" spans="1:28">
      <c r="A34" t="s">
        <v>484</v>
      </c>
      <c r="B34" s="19" t="s">
        <v>175</v>
      </c>
      <c r="C34" s="19" t="s">
        <v>238</v>
      </c>
      <c r="D34" s="20" t="s">
        <v>481</v>
      </c>
      <c r="E34" s="19" t="str">
        <f>IF(zzz_20261002_Jars[[#This Row],[Jar Type]]="", "", TEXT(_xlfn.XLOOKUP(zzz_20261002_Jars[[#This Row],[Jar Type]], Containers!A:A, Containers!C:C), "General"))</f>
        <v>1892.7</v>
      </c>
      <c r="F34" s="19" t="s">
        <v>153</v>
      </c>
      <c r="G34" s="19" t="s">
        <v>485</v>
      </c>
      <c r="H34" s="20" t="s">
        <v>460</v>
      </c>
      <c r="I34" s="20" t="str" cm="1">
        <f t="array" ref="I3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4" s="20" t="str" cm="1">
        <f t="array" ref="J3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0000</v>
      </c>
      <c r="K34" s="17" t="s">
        <v>486</v>
      </c>
      <c r="L34" s="17" t="s">
        <v>14</v>
      </c>
      <c r="M34" s="17" t="s">
        <v>14</v>
      </c>
      <c r="N34" s="17" t="s">
        <v>179</v>
      </c>
      <c r="O34" t="s">
        <v>155</v>
      </c>
      <c r="P34" s="20" t="s">
        <v>14</v>
      </c>
      <c r="Q34" s="20" t="s">
        <v>14</v>
      </c>
      <c r="R34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4" s="17" t="s">
        <v>14</v>
      </c>
      <c r="T34" s="17" t="s">
        <v>179</v>
      </c>
      <c r="U34" s="17" t="s">
        <v>374</v>
      </c>
      <c r="V34" s="17" cm="1">
        <f t="array" ref="V3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1775</v>
      </c>
      <c r="W34" s="17" cm="1">
        <f t="array" ref="W3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X34" s="20"/>
      <c r="Y34" s="20"/>
      <c r="Z34" s="17" t="s">
        <v>377</v>
      </c>
      <c r="AA34" s="17" t="s">
        <v>378</v>
      </c>
    </row>
    <row r="35" spans="1:28">
      <c r="A35" t="s">
        <v>487</v>
      </c>
      <c r="B35" s="17" t="s">
        <v>183</v>
      </c>
      <c r="C35" s="8" t="s">
        <v>238</v>
      </c>
      <c r="D35" s="20" t="s">
        <v>481</v>
      </c>
      <c r="E35" s="19" t="str">
        <f>IF(zzz_20261002_Jars[[#This Row],[Jar Type]]="", "", TEXT(_xlfn.XLOOKUP(zzz_20261002_Jars[[#This Row],[Jar Type]], Containers!A:A, Containers!C:C), "General"))</f>
        <v>354</v>
      </c>
      <c r="F35" s="19" t="s">
        <v>153</v>
      </c>
      <c r="G35" s="17" t="s">
        <v>488</v>
      </c>
      <c r="H35" s="20" t="s">
        <v>460</v>
      </c>
      <c r="I35" s="20" t="str" cm="1">
        <f t="array" ref="I3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35" s="20" t="str" cm="1">
        <f t="array" ref="J3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0250</v>
      </c>
      <c r="K35" s="17" t="s">
        <v>195</v>
      </c>
      <c r="L35" s="17" t="s">
        <v>14</v>
      </c>
      <c r="M35" s="17" t="s">
        <v>14</v>
      </c>
      <c r="N35" s="19" t="s">
        <v>489</v>
      </c>
      <c r="O35" t="s">
        <v>155</v>
      </c>
      <c r="P35" s="17" t="s">
        <v>418</v>
      </c>
      <c r="Q35" s="20" t="s">
        <v>14</v>
      </c>
      <c r="R35" s="20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5" s="17" t="s">
        <v>14</v>
      </c>
      <c r="T35" s="17" t="s">
        <v>179</v>
      </c>
      <c r="U35" s="17" t="s">
        <v>374</v>
      </c>
      <c r="V35" s="17" cm="1">
        <f t="array" ref="V3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250</v>
      </c>
      <c r="W35" s="17" cm="1">
        <f t="array" ref="W3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0.17</v>
      </c>
      <c r="X35" s="20"/>
      <c r="Y35" s="20"/>
      <c r="Z35" s="20" t="s">
        <v>490</v>
      </c>
      <c r="AA35" s="17" t="s">
        <v>378</v>
      </c>
    </row>
    <row r="36" spans="1:28">
      <c r="A36" t="s">
        <v>491</v>
      </c>
      <c r="B36" s="19" t="s">
        <v>175</v>
      </c>
      <c r="C36" s="17" t="s">
        <v>447</v>
      </c>
      <c r="D36" s="20" t="s">
        <v>458</v>
      </c>
      <c r="E36" s="21" t="str">
        <f>IF(zzz_20261002_Jars[[#This Row],[Jar Type]]="", "", TEXT(_xlfn.XLOOKUP(zzz_20261002_Jars[[#This Row],[Jar Type]], Containers!A:A, Containers!C:C), "General"))</f>
        <v>1892.7</v>
      </c>
      <c r="F36" s="19" t="s">
        <v>153</v>
      </c>
      <c r="G36" s="17" t="s">
        <v>488</v>
      </c>
      <c r="H36" s="20" t="s">
        <v>460</v>
      </c>
      <c r="I36" s="20" t="str" cm="1">
        <f t="array" ref="I3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6" s="20" t="str" cm="1">
        <f t="array" ref="J3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6" s="17" t="s">
        <v>492</v>
      </c>
      <c r="L36" s="17" t="s">
        <v>14</v>
      </c>
      <c r="M36" s="17" t="s">
        <v>14</v>
      </c>
      <c r="N36" s="17" t="s">
        <v>493</v>
      </c>
      <c r="O36" t="s">
        <v>155</v>
      </c>
      <c r="P36" s="17" t="s">
        <v>375</v>
      </c>
      <c r="Q36" s="17" t="s">
        <v>494</v>
      </c>
      <c r="R3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6" s="17" t="s">
        <v>14</v>
      </c>
      <c r="T36" s="17" t="s">
        <v>179</v>
      </c>
      <c r="U36" s="17" t="s">
        <v>374</v>
      </c>
      <c r="V36" s="17" cm="1">
        <f t="array" ref="V3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1800</v>
      </c>
      <c r="W36" s="17" cm="1">
        <f t="array" ref="W3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1.87</v>
      </c>
      <c r="Z36" s="17" t="s">
        <v>377</v>
      </c>
      <c r="AA36" s="17" t="s">
        <v>378</v>
      </c>
    </row>
    <row r="37" spans="1:28">
      <c r="A37" t="s">
        <v>495</v>
      </c>
      <c r="B37" s="19" t="s">
        <v>175</v>
      </c>
      <c r="C37" s="17" t="s">
        <v>464</v>
      </c>
      <c r="D37" s="20" t="s">
        <v>458</v>
      </c>
      <c r="E37" s="21" t="str">
        <f>IF(zzz_20261002_Jars[[#This Row],[Jar Type]]="", "", TEXT(_xlfn.XLOOKUP(zzz_20261002_Jars[[#This Row],[Jar Type]], Containers!A:A, Containers!C:C), "General"))</f>
        <v>1892.7</v>
      </c>
      <c r="F37" s="19" t="s">
        <v>153</v>
      </c>
      <c r="G37" s="17" t="s">
        <v>488</v>
      </c>
      <c r="H37" s="20" t="s">
        <v>460</v>
      </c>
      <c r="I37" s="20" t="str" cm="1">
        <f t="array" ref="I3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7" s="20" t="str" cm="1">
        <f t="array" ref="J3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7" s="17" t="s">
        <v>383</v>
      </c>
      <c r="L37" s="17" t="s">
        <v>14</v>
      </c>
      <c r="M37" s="17" t="s">
        <v>14</v>
      </c>
      <c r="N37" s="17" t="s">
        <v>478</v>
      </c>
      <c r="O37" t="s">
        <v>155</v>
      </c>
      <c r="P37" s="17" t="s">
        <v>387</v>
      </c>
      <c r="Q37" s="17" t="s">
        <v>496</v>
      </c>
      <c r="R3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7" s="17" t="s">
        <v>14</v>
      </c>
      <c r="T37" s="19" t="s">
        <v>434</v>
      </c>
      <c r="U37" s="19" t="s">
        <v>497</v>
      </c>
      <c r="V37" s="17" cm="1">
        <f t="array" ref="V3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37" s="17" cm="1">
        <f t="array" ref="W3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3.63</v>
      </c>
      <c r="Z37" s="17" t="s">
        <v>377</v>
      </c>
      <c r="AA37" s="17" t="s">
        <v>378</v>
      </c>
    </row>
    <row r="38" spans="1:28">
      <c r="A38" t="s">
        <v>498</v>
      </c>
      <c r="B38" s="19" t="s">
        <v>175</v>
      </c>
      <c r="C38" s="17" t="s">
        <v>499</v>
      </c>
      <c r="D38" s="20" t="s">
        <v>458</v>
      </c>
      <c r="E38" s="17" t="str">
        <f>IF(zzz_20261002_Jars[[#This Row],[Jar Type]]="", "", TEXT(_xlfn.XLOOKUP(zzz_20261002_Jars[[#This Row],[Jar Type]], Containers!A:A, Containers!C:C), "General"))</f>
        <v>1892.7</v>
      </c>
      <c r="F38" s="19" t="s">
        <v>153</v>
      </c>
      <c r="G38" s="17" t="s">
        <v>488</v>
      </c>
      <c r="H38" s="20" t="s">
        <v>460</v>
      </c>
      <c r="I38" s="20" t="str" cm="1">
        <f t="array" ref="I3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8" s="20" t="str" cm="1">
        <f t="array" ref="J3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8" s="17" t="s">
        <v>465</v>
      </c>
      <c r="L38" s="17" t="s">
        <v>14</v>
      </c>
      <c r="M38" s="17" t="s">
        <v>14</v>
      </c>
      <c r="N38" s="17" t="s">
        <v>500</v>
      </c>
      <c r="O38" t="s">
        <v>155</v>
      </c>
      <c r="P38" s="17" t="s">
        <v>372</v>
      </c>
      <c r="Q38" s="17" t="s">
        <v>501</v>
      </c>
      <c r="R3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8" s="19" t="s">
        <v>153</v>
      </c>
      <c r="T38" s="19" t="s">
        <v>179</v>
      </c>
      <c r="U38" s="19" t="s">
        <v>374</v>
      </c>
      <c r="V38" s="19" cm="1">
        <f t="array" ref="V3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1651</v>
      </c>
      <c r="W38" s="19" cm="1">
        <f t="array" ref="W3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1.71</v>
      </c>
      <c r="Z38" s="17" t="s">
        <v>377</v>
      </c>
      <c r="AA38" s="17" t="s">
        <v>378</v>
      </c>
      <c r="AB38" s="17" t="s">
        <v>502</v>
      </c>
    </row>
    <row r="39" spans="1:28">
      <c r="A39" t="s">
        <v>503</v>
      </c>
      <c r="B39" s="19" t="s">
        <v>175</v>
      </c>
      <c r="C39" s="17" t="s">
        <v>504</v>
      </c>
      <c r="D39" s="20" t="s">
        <v>458</v>
      </c>
      <c r="E39" s="17" t="str">
        <f>IF(zzz_20261002_Jars[[#This Row],[Jar Type]]="", "", TEXT(_xlfn.XLOOKUP(zzz_20261002_Jars[[#This Row],[Jar Type]], Containers!A:A, Containers!C:C), "General"))</f>
        <v>1892.7</v>
      </c>
      <c r="F39" s="19" t="s">
        <v>153</v>
      </c>
      <c r="G39" s="17" t="s">
        <v>488</v>
      </c>
      <c r="H39" s="20" t="s">
        <v>460</v>
      </c>
      <c r="I39" s="20" t="str" cm="1">
        <f t="array" ref="I3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39" s="20" t="str" cm="1">
        <f t="array" ref="J3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39" s="17" t="s">
        <v>469</v>
      </c>
      <c r="L39" s="17" t="s">
        <v>14</v>
      </c>
      <c r="M39" s="17" t="s">
        <v>14</v>
      </c>
      <c r="N39" s="17" t="s">
        <v>505</v>
      </c>
      <c r="O39" t="s">
        <v>155</v>
      </c>
      <c r="P39" s="17" t="s">
        <v>387</v>
      </c>
      <c r="Q39" s="17" t="s">
        <v>506</v>
      </c>
      <c r="R39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39" s="17" t="s">
        <v>14</v>
      </c>
      <c r="T39" s="17" t="s">
        <v>179</v>
      </c>
      <c r="U39" s="17" t="s">
        <v>374</v>
      </c>
      <c r="V39" s="17" cm="1">
        <f t="array" ref="V3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1600</v>
      </c>
      <c r="W39" s="17" cm="1">
        <f t="array" ref="W3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1.66</v>
      </c>
      <c r="Z39" s="17" t="s">
        <v>377</v>
      </c>
      <c r="AA39" s="17" t="s">
        <v>378</v>
      </c>
    </row>
    <row r="40" spans="1:28">
      <c r="A40" t="s">
        <v>507</v>
      </c>
      <c r="B40" s="19" t="s">
        <v>175</v>
      </c>
      <c r="C40" s="17" t="s">
        <v>507</v>
      </c>
      <c r="D40" s="20" t="s">
        <v>458</v>
      </c>
      <c r="E40" s="17" t="str">
        <f>IF(zzz_20261002_Jars[[#This Row],[Jar Type]]="", "", TEXT(_xlfn.XLOOKUP(zzz_20261002_Jars[[#This Row],[Jar Type]], Containers!A:A, Containers!C:C), "General"))</f>
        <v>1892.7</v>
      </c>
      <c r="F40" s="19" t="s">
        <v>153</v>
      </c>
      <c r="G40" s="17" t="s">
        <v>488</v>
      </c>
      <c r="H40" s="20" t="s">
        <v>460</v>
      </c>
      <c r="I40" s="20" t="str" cm="1">
        <f t="array" ref="I4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0" s="20" t="str" cm="1">
        <f t="array" ref="J4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0" s="17" t="s">
        <v>473</v>
      </c>
      <c r="L40" s="17" t="s">
        <v>14</v>
      </c>
      <c r="M40" s="17" t="s">
        <v>14</v>
      </c>
      <c r="N40" s="17" t="s">
        <v>508</v>
      </c>
      <c r="O40" t="s">
        <v>155</v>
      </c>
      <c r="P40" s="17" t="s">
        <v>387</v>
      </c>
      <c r="Q40" s="17" t="s">
        <v>509</v>
      </c>
      <c r="R40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0" s="17" t="s">
        <v>14</v>
      </c>
      <c r="T40" s="17" t="s">
        <v>179</v>
      </c>
      <c r="U40" s="17" t="s">
        <v>374</v>
      </c>
      <c r="V40" s="17" cm="1">
        <f t="array" ref="V4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1550</v>
      </c>
      <c r="W40" s="17" cm="1">
        <f t="array" ref="W4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1.61</v>
      </c>
      <c r="Z40" s="17" t="s">
        <v>377</v>
      </c>
      <c r="AA40" s="17" t="s">
        <v>378</v>
      </c>
    </row>
    <row r="41" spans="1:28">
      <c r="A41" t="s">
        <v>510</v>
      </c>
      <c r="B41" s="19" t="s">
        <v>175</v>
      </c>
      <c r="C41" s="17" t="s">
        <v>510</v>
      </c>
      <c r="D41" s="20" t="s">
        <v>458</v>
      </c>
      <c r="E41" s="17" t="str">
        <f>IF(zzz_20261002_Jars[[#This Row],[Jar Type]]="", "", TEXT(_xlfn.XLOOKUP(zzz_20261002_Jars[[#This Row],[Jar Type]], Containers!A:A, Containers!C:C), "General"))</f>
        <v>1892.7</v>
      </c>
      <c r="F41" s="19" t="s">
        <v>153</v>
      </c>
      <c r="G41" s="17" t="s">
        <v>488</v>
      </c>
      <c r="H41" s="20" t="s">
        <v>460</v>
      </c>
      <c r="I41" s="20" t="str" cm="1">
        <f t="array" ref="I4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1" s="20" t="str" cm="1">
        <f t="array" ref="J4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1" s="17" t="s">
        <v>511</v>
      </c>
      <c r="L41" s="17" t="s">
        <v>14</v>
      </c>
      <c r="M41" s="17" t="s">
        <v>14</v>
      </c>
      <c r="N41" s="17" t="s">
        <v>512</v>
      </c>
      <c r="O41" t="s">
        <v>155</v>
      </c>
      <c r="P41" s="17" t="s">
        <v>387</v>
      </c>
      <c r="Q41" s="17" t="s">
        <v>513</v>
      </c>
      <c r="R41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41" s="17" t="s">
        <v>14</v>
      </c>
      <c r="T41" s="17" t="s">
        <v>179</v>
      </c>
      <c r="U41" s="17" t="s">
        <v>374</v>
      </c>
      <c r="V41" s="17" cm="1">
        <f t="array" ref="V4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1500</v>
      </c>
      <c r="W41" s="17" cm="1">
        <f t="array" ref="W4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1.54</v>
      </c>
      <c r="Z41" s="17" t="s">
        <v>377</v>
      </c>
      <c r="AA41" s="17" t="s">
        <v>378</v>
      </c>
    </row>
    <row r="42" spans="1:28">
      <c r="A42" t="s">
        <v>514</v>
      </c>
      <c r="B42" s="17" t="s">
        <v>189</v>
      </c>
      <c r="C42" s="8" t="s">
        <v>238</v>
      </c>
      <c r="D42" s="17" t="s">
        <v>481</v>
      </c>
      <c r="E42" s="17" t="str">
        <f>IF(zzz_20261002_Jars[[#This Row],[Jar Type]]="", "", TEXT(_xlfn.XLOOKUP(zzz_20261002_Jars[[#This Row],[Jar Type]], Containers!A:A, Containers!C:C), "General"))</f>
        <v>361</v>
      </c>
      <c r="F42" s="19" t="s">
        <v>153</v>
      </c>
      <c r="G42" s="19" t="s">
        <v>515</v>
      </c>
      <c r="H42" s="20" t="s">
        <v>460</v>
      </c>
      <c r="I42" s="20" t="str" cm="1">
        <f t="array" ref="I4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42" s="20" t="str" cm="1">
        <f t="array" ref="J4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0295</v>
      </c>
      <c r="K42" s="17" t="s">
        <v>482</v>
      </c>
      <c r="L42" s="17" t="s">
        <v>14</v>
      </c>
      <c r="M42" s="17" t="s">
        <v>14</v>
      </c>
      <c r="N42" s="17" t="s">
        <v>179</v>
      </c>
      <c r="O42" t="s">
        <v>155</v>
      </c>
      <c r="P42" s="17" t="s">
        <v>14</v>
      </c>
      <c r="Q42" s="17" t="s">
        <v>14</v>
      </c>
      <c r="R4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2" s="17" t="s">
        <v>14</v>
      </c>
      <c r="T42" s="17" t="s">
        <v>179</v>
      </c>
      <c r="U42" s="17" t="s">
        <v>374</v>
      </c>
      <c r="V42" s="17" cm="1">
        <f t="array" ref="V4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42" s="17" cm="1">
        <f t="array" ref="W4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2" s="17" t="s">
        <v>490</v>
      </c>
      <c r="AA42" s="17" t="s">
        <v>378</v>
      </c>
    </row>
    <row r="43" spans="1:28">
      <c r="A43" t="s">
        <v>516</v>
      </c>
      <c r="B43" s="17" t="s">
        <v>194</v>
      </c>
      <c r="C43" s="8" t="s">
        <v>238</v>
      </c>
      <c r="D43" s="17" t="s">
        <v>481</v>
      </c>
      <c r="E43" s="17" t="str">
        <f>IF(zzz_20261002_Jars[[#This Row],[Jar Type]]="", "", TEXT(_xlfn.XLOOKUP(zzz_20261002_Jars[[#This Row],[Jar Type]], Containers!A:A, Containers!C:C), "General"))</f>
        <v>250</v>
      </c>
      <c r="F43" s="19" t="s">
        <v>153</v>
      </c>
      <c r="G43" s="19" t="s">
        <v>517</v>
      </c>
      <c r="H43" s="20" t="s">
        <v>460</v>
      </c>
      <c r="I43" s="20" t="str" cm="1">
        <f t="array" ref="I4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3" s="20" t="str" cm="1">
        <f t="array" ref="J4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3" s="19" t="s">
        <v>518</v>
      </c>
      <c r="L43" s="17" t="s">
        <v>14</v>
      </c>
      <c r="M43" s="17" t="s">
        <v>14</v>
      </c>
      <c r="N43" s="17" t="s">
        <v>179</v>
      </c>
      <c r="O43" t="s">
        <v>155</v>
      </c>
      <c r="P43" s="17" t="s">
        <v>14</v>
      </c>
      <c r="Q43" s="17" t="s">
        <v>14</v>
      </c>
      <c r="R4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3" s="19" t="s">
        <v>153</v>
      </c>
      <c r="T43" s="19" t="s">
        <v>179</v>
      </c>
      <c r="U43" s="19" t="s">
        <v>374</v>
      </c>
      <c r="V43" s="19" cm="1">
        <f t="array" ref="V4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3" s="19" cm="1">
        <f t="array" ref="W4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3" s="17" t="s">
        <v>519</v>
      </c>
      <c r="AA43" s="17" t="s">
        <v>378</v>
      </c>
      <c r="AB43" s="17" t="s">
        <v>520</v>
      </c>
    </row>
    <row r="44" spans="1:28">
      <c r="A44" t="s">
        <v>521</v>
      </c>
      <c r="B44" s="20" t="s">
        <v>194</v>
      </c>
      <c r="C44" s="8" t="s">
        <v>238</v>
      </c>
      <c r="D44" s="19" t="s">
        <v>481</v>
      </c>
      <c r="E44" s="17" t="str">
        <f>IF(zzz_20261002_Jars[[#This Row],[Jar Type]]="", "", TEXT(_xlfn.XLOOKUP(zzz_20261002_Jars[[#This Row],[Jar Type]], Containers!A:A, Containers!C:C), "General"))</f>
        <v>250</v>
      </c>
      <c r="F44" s="19" t="s">
        <v>153</v>
      </c>
      <c r="G44" s="21" t="s">
        <v>517</v>
      </c>
      <c r="H44" s="20" t="s">
        <v>460</v>
      </c>
      <c r="I44" s="20" t="str" cm="1">
        <f t="array" ref="I4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4" s="20" t="str" cm="1">
        <f t="array" ref="J4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4" s="21" t="s">
        <v>518</v>
      </c>
      <c r="L44" s="17" t="s">
        <v>14</v>
      </c>
      <c r="M44" s="17" t="s">
        <v>14</v>
      </c>
      <c r="N44" s="17" t="s">
        <v>179</v>
      </c>
      <c r="O44" t="s">
        <v>155</v>
      </c>
      <c r="P44" s="17" t="s">
        <v>14</v>
      </c>
      <c r="Q44" s="17" t="s">
        <v>14</v>
      </c>
      <c r="R44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4" s="19" t="s">
        <v>153</v>
      </c>
      <c r="T44" s="19" t="s">
        <v>179</v>
      </c>
      <c r="U44" s="19" t="s">
        <v>374</v>
      </c>
      <c r="V44" s="19" cm="1">
        <f t="array" ref="V4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4" s="19" cm="1">
        <f t="array" ref="W4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4" s="20" t="s">
        <v>519</v>
      </c>
      <c r="AA44" s="17" t="s">
        <v>378</v>
      </c>
      <c r="AB44" s="3" t="s">
        <v>520</v>
      </c>
    </row>
    <row r="45" spans="1:28">
      <c r="A45" t="s">
        <v>522</v>
      </c>
      <c r="B45" s="20" t="s">
        <v>194</v>
      </c>
      <c r="C45" s="8" t="s">
        <v>238</v>
      </c>
      <c r="D45" s="19" t="s">
        <v>481</v>
      </c>
      <c r="E45" s="17" t="str">
        <f>IF(zzz_20261002_Jars[[#This Row],[Jar Type]]="", "", TEXT(_xlfn.XLOOKUP(zzz_20261002_Jars[[#This Row],[Jar Type]], Containers!A:A, Containers!C:C), "General"))</f>
        <v>250</v>
      </c>
      <c r="F45" s="19" t="s">
        <v>153</v>
      </c>
      <c r="G45" s="21" t="s">
        <v>517</v>
      </c>
      <c r="H45" s="20" t="s">
        <v>460</v>
      </c>
      <c r="I45" s="20" t="str" cm="1">
        <f t="array" ref="I4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5" s="20" t="str" cm="1">
        <f t="array" ref="J4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5" s="21" t="s">
        <v>518</v>
      </c>
      <c r="L45" s="17" t="s">
        <v>14</v>
      </c>
      <c r="M45" s="17" t="s">
        <v>14</v>
      </c>
      <c r="N45" s="17" t="s">
        <v>179</v>
      </c>
      <c r="O45" t="s">
        <v>155</v>
      </c>
      <c r="P45" s="17" t="s">
        <v>14</v>
      </c>
      <c r="Q45" s="17" t="s">
        <v>14</v>
      </c>
      <c r="R45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5" s="19" t="s">
        <v>153</v>
      </c>
      <c r="T45" s="19" t="s">
        <v>179</v>
      </c>
      <c r="U45" s="19" t="s">
        <v>374</v>
      </c>
      <c r="V45" s="19" cm="1">
        <f t="array" ref="V4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176</v>
      </c>
      <c r="W45" s="19" cm="1">
        <f t="array" ref="W4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5" s="20" t="s">
        <v>519</v>
      </c>
      <c r="AA45" s="17" t="s">
        <v>378</v>
      </c>
      <c r="AB45" s="3" t="s">
        <v>520</v>
      </c>
    </row>
    <row r="46" spans="1:28">
      <c r="A46" t="s">
        <v>523</v>
      </c>
      <c r="B46" s="17" t="s">
        <v>194</v>
      </c>
      <c r="C46" s="8" t="s">
        <v>238</v>
      </c>
      <c r="D46" s="17" t="s">
        <v>481</v>
      </c>
      <c r="E46" s="17" t="str">
        <f>IF(zzz_20261002_Jars[[#This Row],[Jar Type]]="", "", TEXT(_xlfn.XLOOKUP(zzz_20261002_Jars[[#This Row],[Jar Type]], Containers!A:A, Containers!C:C), "General"))</f>
        <v>250</v>
      </c>
      <c r="F46" s="19" t="s">
        <v>179</v>
      </c>
      <c r="G46" s="19" t="s">
        <v>524</v>
      </c>
      <c r="H46" s="20" t="s">
        <v>460</v>
      </c>
      <c r="I46" s="20" t="str" cm="1">
        <f t="array" ref="I4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6" s="20" t="str" cm="1">
        <f t="array" ref="J4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6" s="19" t="s">
        <v>525</v>
      </c>
      <c r="L46" s="17" t="s">
        <v>14</v>
      </c>
      <c r="M46" s="17" t="s">
        <v>14</v>
      </c>
      <c r="N46" s="17" t="s">
        <v>179</v>
      </c>
      <c r="O46" t="s">
        <v>155</v>
      </c>
      <c r="P46" s="17" t="s">
        <v>14</v>
      </c>
      <c r="Q46" s="17" t="s">
        <v>14</v>
      </c>
      <c r="R46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6" s="19" t="s">
        <v>179</v>
      </c>
      <c r="T46" s="19" t="s">
        <v>179</v>
      </c>
      <c r="U46" s="19" t="s">
        <v>374</v>
      </c>
      <c r="V46" s="19" cm="1">
        <f t="array" ref="V4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200</v>
      </c>
      <c r="W46" s="19" cm="1">
        <f t="array" ref="W4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6" s="17" t="s">
        <v>519</v>
      </c>
      <c r="AA46" s="17" t="s">
        <v>378</v>
      </c>
    </row>
    <row r="47" spans="1:28">
      <c r="A47" t="s">
        <v>526</v>
      </c>
      <c r="B47" s="20" t="s">
        <v>194</v>
      </c>
      <c r="C47" s="8" t="s">
        <v>238</v>
      </c>
      <c r="D47" s="19" t="s">
        <v>481</v>
      </c>
      <c r="E47" s="17" t="str">
        <f>IF(zzz_20261002_Jars[[#This Row],[Jar Type]]="", "", TEXT(_xlfn.XLOOKUP(zzz_20261002_Jars[[#This Row],[Jar Type]], Containers!A:A, Containers!C:C), "General"))</f>
        <v>250</v>
      </c>
      <c r="F47" s="19" t="s">
        <v>179</v>
      </c>
      <c r="G47" s="21" t="s">
        <v>524</v>
      </c>
      <c r="H47" s="20" t="s">
        <v>460</v>
      </c>
      <c r="I47" s="20" t="str" cm="1">
        <f t="array" ref="I4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7" s="20" t="str" cm="1">
        <f t="array" ref="J4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7" s="21" t="s">
        <v>527</v>
      </c>
      <c r="L47" s="17" t="s">
        <v>14</v>
      </c>
      <c r="M47" s="17" t="s">
        <v>14</v>
      </c>
      <c r="N47" s="17" t="s">
        <v>179</v>
      </c>
      <c r="O47" t="s">
        <v>155</v>
      </c>
      <c r="P47" s="17" t="s">
        <v>14</v>
      </c>
      <c r="Q47" s="17" t="s">
        <v>14</v>
      </c>
      <c r="R47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Finished</v>
      </c>
      <c r="S47" s="19" t="s">
        <v>179</v>
      </c>
      <c r="T47" s="19" t="s">
        <v>179</v>
      </c>
      <c r="U47" s="19" t="s">
        <v>374</v>
      </c>
      <c r="V47" s="19" cm="1">
        <f t="array" ref="V4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195</v>
      </c>
      <c r="W47" s="19" cm="1">
        <f t="array" ref="W4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7" s="20" t="s">
        <v>519</v>
      </c>
      <c r="AA47" s="17" t="s">
        <v>378</v>
      </c>
    </row>
    <row r="48" spans="1:28">
      <c r="A48" t="s">
        <v>528</v>
      </c>
      <c r="B48" s="20" t="s">
        <v>194</v>
      </c>
      <c r="C48" s="8" t="s">
        <v>238</v>
      </c>
      <c r="D48" s="19" t="s">
        <v>481</v>
      </c>
      <c r="E48" s="17" t="str">
        <f>IF(zzz_20261002_Jars[[#This Row],[Jar Type]]="", "", TEXT(_xlfn.XLOOKUP(zzz_20261002_Jars[[#This Row],[Jar Type]], Containers!A:A, Containers!C:C), "General"))</f>
        <v>250</v>
      </c>
      <c r="F48" s="19" t="s">
        <v>179</v>
      </c>
      <c r="G48" s="21" t="s">
        <v>524</v>
      </c>
      <c r="H48" s="20" t="s">
        <v>460</v>
      </c>
      <c r="I48" s="20" t="str" cm="1">
        <f t="array" ref="I4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0175</v>
      </c>
      <c r="J48" s="20" t="str" cm="1">
        <f t="array" ref="J4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0195</v>
      </c>
      <c r="K48" s="21" t="s">
        <v>529</v>
      </c>
      <c r="L48" s="17" t="s">
        <v>14</v>
      </c>
      <c r="M48" s="17" t="s">
        <v>14</v>
      </c>
      <c r="N48" s="17" t="s">
        <v>179</v>
      </c>
      <c r="O48" t="s">
        <v>155</v>
      </c>
      <c r="P48" s="17" t="s">
        <v>14</v>
      </c>
      <c r="Q48" s="17" t="s">
        <v>14</v>
      </c>
      <c r="R48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Growing</v>
      </c>
      <c r="S48" s="19" t="s">
        <v>179</v>
      </c>
      <c r="T48" s="19" t="s">
        <v>179</v>
      </c>
      <c r="U48" s="19" t="s">
        <v>374</v>
      </c>
      <c r="V48" s="19" cm="1">
        <f t="array" ref="V4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190</v>
      </c>
      <c r="W48" s="19" cm="1">
        <f t="array" ref="W4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</v>
      </c>
      <c r="Z48" s="20" t="s">
        <v>519</v>
      </c>
      <c r="AA48" s="17" t="s">
        <v>378</v>
      </c>
    </row>
    <row r="49" spans="1:27">
      <c r="A49" s="10" t="s">
        <v>530</v>
      </c>
      <c r="B49" s="19" t="s">
        <v>175</v>
      </c>
      <c r="D49" s="17" t="s">
        <v>458</v>
      </c>
      <c r="E49" s="17" t="str">
        <f>IF(zzz_20261002_Jars[[#This Row],[Jar Type]]="", "", TEXT(_xlfn.XLOOKUP(zzz_20261002_Jars[[#This Row],[Jar Type]], Containers!A:A, Containers!C:C), "General"))</f>
        <v>1892.7</v>
      </c>
      <c r="F49" s="19" t="s">
        <v>153</v>
      </c>
      <c r="G49" s="19" t="s">
        <v>531</v>
      </c>
      <c r="H49" s="23" t="s">
        <v>460</v>
      </c>
      <c r="I49" s="20" t="str" cm="1">
        <f t="array" ref="I4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49" s="20" t="str" cm="1">
        <f t="array" ref="J4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49" s="19" t="s">
        <v>383</v>
      </c>
      <c r="L49" s="17" t="s">
        <v>14</v>
      </c>
      <c r="M49" s="17" t="s">
        <v>14</v>
      </c>
      <c r="O49" t="s">
        <v>155</v>
      </c>
      <c r="R49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49" s="19" t="s">
        <v>179</v>
      </c>
      <c r="T49" s="17" t="s">
        <v>179</v>
      </c>
      <c r="U49" s="17" t="s">
        <v>374</v>
      </c>
      <c r="V49" s="17" cm="1">
        <f t="array" ref="V4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49" s="17" t="str" cm="1">
        <f t="array" ref="W4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  <c r="Z49" s="17" t="s">
        <v>377</v>
      </c>
      <c r="AA49" s="17" t="s">
        <v>378</v>
      </c>
    </row>
    <row r="50" spans="1:27">
      <c r="A50" s="10" t="s">
        <v>532</v>
      </c>
      <c r="B50" s="19" t="s">
        <v>175</v>
      </c>
      <c r="D50" s="3" t="s">
        <v>458</v>
      </c>
      <c r="E50" s="17" t="str">
        <f>IF(zzz_20261002_Jars[[#This Row],[Jar Type]]="", "", TEXT(_xlfn.XLOOKUP(zzz_20261002_Jars[[#This Row],[Jar Type]], Containers!A:A, Containers!C:C), "General"))</f>
        <v>1892.7</v>
      </c>
      <c r="F50" s="19" t="s">
        <v>153</v>
      </c>
      <c r="G50" s="19" t="s">
        <v>531</v>
      </c>
      <c r="H50" s="23" t="s">
        <v>460</v>
      </c>
      <c r="I50" s="20" t="str" cm="1">
        <f t="array" ref="I5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1650</v>
      </c>
      <c r="J50" s="20" t="str" cm="1">
        <f t="array" ref="J5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1700</v>
      </c>
      <c r="K50" s="19" t="s">
        <v>383</v>
      </c>
      <c r="L50" s="17" t="s">
        <v>14</v>
      </c>
      <c r="M50" s="17" t="s">
        <v>14</v>
      </c>
      <c r="O50" t="s">
        <v>155</v>
      </c>
      <c r="R50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>Ready</v>
      </c>
      <c r="S50" s="8" t="s">
        <v>179</v>
      </c>
      <c r="T50" s="17" t="s">
        <v>179</v>
      </c>
      <c r="U50" s="17" t="s">
        <v>374</v>
      </c>
      <c r="V50" s="17" cm="1">
        <f t="array" ref="V5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1700</v>
      </c>
      <c r="W50" s="17" t="str" cm="1">
        <f t="array" ref="W5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  <c r="Z50" s="17" t="s">
        <v>377</v>
      </c>
      <c r="AA50" s="17" t="s">
        <v>378</v>
      </c>
    </row>
    <row r="51" spans="1:27">
      <c r="A51" s="10" t="s">
        <v>533</v>
      </c>
      <c r="B51" s="17" t="s">
        <v>177</v>
      </c>
      <c r="C51" s="8" t="s">
        <v>238</v>
      </c>
      <c r="D51" s="17" t="s">
        <v>481</v>
      </c>
      <c r="E51" s="17" t="str">
        <f>IF(zzz_20261002_Jars[[#This Row],[Jar Type]]="", "", TEXT(_xlfn.XLOOKUP(zzz_20261002_Jars[[#This Row],[Jar Type]], Containers!A:A, Containers!C:C), "General"))</f>
        <v>371</v>
      </c>
      <c r="F51" s="19" t="s">
        <v>153</v>
      </c>
      <c r="G51" s="19" t="s">
        <v>531</v>
      </c>
      <c r="H51" s="23" t="s">
        <v>460</v>
      </c>
      <c r="I51" s="20" t="str" cm="1">
        <f t="array" ref="I5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1" s="20" t="str" cm="1">
        <f t="array" ref="J51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0275</v>
      </c>
      <c r="K51" s="19" t="s">
        <v>482</v>
      </c>
      <c r="L51" s="17" t="s">
        <v>14</v>
      </c>
      <c r="M51" s="17" t="s">
        <v>14</v>
      </c>
      <c r="N51" s="19" t="s">
        <v>534</v>
      </c>
      <c r="O51" t="s">
        <v>155</v>
      </c>
      <c r="P51" s="19" t="s">
        <v>535</v>
      </c>
      <c r="Q51" s="19" t="s">
        <v>536</v>
      </c>
      <c r="R51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Seeding</v>
      </c>
      <c r="S51" s="8" t="s">
        <v>179</v>
      </c>
      <c r="T51" s="17" t="s">
        <v>179</v>
      </c>
      <c r="U51" s="17" t="s">
        <v>374</v>
      </c>
      <c r="V51" s="17" cm="1">
        <f t="array" ref="V51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275</v>
      </c>
      <c r="W51" s="17" cm="1">
        <f t="array" ref="W51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0.28000000000000003</v>
      </c>
      <c r="Z51" s="20" t="s">
        <v>519</v>
      </c>
      <c r="AA51" s="17" t="s">
        <v>378</v>
      </c>
    </row>
    <row r="52" spans="1:27">
      <c r="A52" s="10" t="s">
        <v>537</v>
      </c>
      <c r="B52" s="17" t="s">
        <v>189</v>
      </c>
      <c r="C52" s="8" t="s">
        <v>238</v>
      </c>
      <c r="D52" s="3" t="s">
        <v>481</v>
      </c>
      <c r="E52" s="17" t="str">
        <f>IF(zzz_20261002_Jars[[#This Row],[Jar Type]]="", "", TEXT(_xlfn.XLOOKUP(zzz_20261002_Jars[[#This Row],[Jar Type]], Containers!A:A, Containers!C:C), "General"))</f>
        <v>361</v>
      </c>
      <c r="F52" s="19" t="s">
        <v>153</v>
      </c>
      <c r="G52" s="19" t="s">
        <v>531</v>
      </c>
      <c r="H52" s="23" t="s">
        <v>460</v>
      </c>
      <c r="I52" s="20" t="str" cm="1">
        <f t="array" ref="I5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2" s="20" t="str" cm="1">
        <f t="array" ref="J52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0295</v>
      </c>
      <c r="K52" s="19" t="s">
        <v>538</v>
      </c>
      <c r="L52" s="17" t="s">
        <v>14</v>
      </c>
      <c r="M52" s="17" t="s">
        <v>14</v>
      </c>
      <c r="N52" s="19" t="s">
        <v>539</v>
      </c>
      <c r="O52" t="s">
        <v>155</v>
      </c>
      <c r="P52" s="19" t="s">
        <v>540</v>
      </c>
      <c r="Q52" s="19" t="s">
        <v>541</v>
      </c>
      <c r="R52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Seeding</v>
      </c>
      <c r="S52" s="8" t="s">
        <v>179</v>
      </c>
      <c r="T52" s="17" t="s">
        <v>179</v>
      </c>
      <c r="U52" s="17" t="s">
        <v>374</v>
      </c>
      <c r="V52" s="17" cm="1">
        <f t="array" ref="V52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295</v>
      </c>
      <c r="W52" s="17" cm="1">
        <f t="array" ref="W52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0.3</v>
      </c>
      <c r="Z52" s="20" t="s">
        <v>519</v>
      </c>
      <c r="AA52" s="17" t="s">
        <v>378</v>
      </c>
    </row>
    <row r="53" spans="1:27">
      <c r="A53" s="10" t="s">
        <v>542</v>
      </c>
      <c r="B53" s="17" t="s">
        <v>183</v>
      </c>
      <c r="C53" s="8" t="s">
        <v>238</v>
      </c>
      <c r="D53" s="3" t="s">
        <v>481</v>
      </c>
      <c r="E53" s="17" t="str">
        <f>IF(zzz_20261002_Jars[[#This Row],[Jar Type]]="", "", TEXT(_xlfn.XLOOKUP(zzz_20261002_Jars[[#This Row],[Jar Type]], Containers!A:A, Containers!C:C), "General"))</f>
        <v>354</v>
      </c>
      <c r="F53" s="19" t="s">
        <v>153</v>
      </c>
      <c r="G53" s="19" t="s">
        <v>531</v>
      </c>
      <c r="H53" s="23" t="s">
        <v>460</v>
      </c>
      <c r="I53" s="20" t="str" cm="1">
        <f t="array" ref="I5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>0000</v>
      </c>
      <c r="J53" s="20" t="str" cm="1">
        <f t="array" ref="J53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>0250</v>
      </c>
      <c r="K53" s="19" t="s">
        <v>195</v>
      </c>
      <c r="L53" s="17" t="s">
        <v>14</v>
      </c>
      <c r="M53" s="17" t="s">
        <v>14</v>
      </c>
      <c r="N53" s="19" t="s">
        <v>543</v>
      </c>
      <c r="O53" t="s">
        <v>155</v>
      </c>
      <c r="P53" s="19" t="s">
        <v>544</v>
      </c>
      <c r="Q53" s="19" t="s">
        <v>545</v>
      </c>
      <c r="R53" s="17" t="str">
        <f ca="1">IF(zzz_20261002_Jars[[#This Row],[Jar]]="", "", IFERROR(IFERROR(_xlfn.XLOOKUP(zzz_20261002_Jars[[#This Row],[Jar]], Growing[Growing Jar], Growing[Status]), _xlfn.XLOOKUP(zzz_20261002_Jars[[#This Row],[Jar]], Growing[Seeding Jar], Growing[Status])), "Ready"))</f>
        <v>Seeding</v>
      </c>
      <c r="S53" s="8" t="s">
        <v>179</v>
      </c>
      <c r="T53" s="17" t="s">
        <v>179</v>
      </c>
      <c r="U53" s="17" t="s">
        <v>374</v>
      </c>
      <c r="V53" s="17" cm="1">
        <f t="array" ref="V53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>250</v>
      </c>
      <c r="W53" s="17" cm="1">
        <f t="array" ref="W53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>0.24</v>
      </c>
      <c r="Z53" s="20" t="s">
        <v>519</v>
      </c>
      <c r="AA53" s="17" t="s">
        <v>378</v>
      </c>
    </row>
    <row r="54" spans="1:27">
      <c r="E54" s="17" t="str">
        <f>IF(zzz_20261002_Jars[[#This Row],[Jar Type]]="", "", TEXT(_xlfn.XLOOKUP(zzz_20261002_Jars[[#This Row],[Jar Type]], Containers!A:A, Containers!C:C), "General"))</f>
        <v/>
      </c>
      <c r="H54" s="23"/>
      <c r="I54" s="20" t="str" cm="1">
        <f t="array" ref="I5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4" s="20" t="str" cm="1">
        <f t="array" ref="J54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4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4" s="17" t="str" cm="1">
        <f t="array" ref="V54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4" s="17" t="str" cm="1">
        <f t="array" ref="W54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5" spans="1:27">
      <c r="E55" s="17" t="str">
        <f>IF(zzz_20261002_Jars[[#This Row],[Jar Type]]="", "", TEXT(_xlfn.XLOOKUP(zzz_20261002_Jars[[#This Row],[Jar Type]], Containers!A:A, Containers!C:C), "General"))</f>
        <v/>
      </c>
      <c r="H55" s="23"/>
      <c r="I55" s="20" t="str" cm="1">
        <f t="array" ref="I5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5" s="20" t="str" cm="1">
        <f t="array" ref="J55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5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5" s="17" t="str" cm="1">
        <f t="array" ref="V55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5" s="17" t="str" cm="1">
        <f t="array" ref="W55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6" spans="1:27">
      <c r="E56" s="17" t="str">
        <f>IF(zzz_20261002_Jars[[#This Row],[Jar Type]]="", "", TEXT(_xlfn.XLOOKUP(zzz_20261002_Jars[[#This Row],[Jar Type]], Containers!A:A, Containers!C:C), "General"))</f>
        <v/>
      </c>
      <c r="H56" s="23"/>
      <c r="I56" s="20" t="str" cm="1">
        <f t="array" ref="I5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6" s="20" t="str" cm="1">
        <f t="array" ref="J56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6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6" s="17" t="str" cm="1">
        <f t="array" ref="V56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6" s="17" t="str" cm="1">
        <f t="array" ref="W56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7" spans="1:27">
      <c r="E57" s="17" t="str">
        <f>IF(zzz_20261002_Jars[[#This Row],[Jar Type]]="", "", TEXT(_xlfn.XLOOKUP(zzz_20261002_Jars[[#This Row],[Jar Type]], Containers!A:A, Containers!C:C), "General"))</f>
        <v/>
      </c>
      <c r="H57" s="23"/>
      <c r="I57" s="20" t="str" cm="1">
        <f t="array" ref="I5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7" s="20" t="str" cm="1">
        <f t="array" ref="J57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7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7" s="17" t="str" cm="1">
        <f t="array" ref="V57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7" s="17" t="str" cm="1">
        <f t="array" ref="W57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8" spans="1:27">
      <c r="E58" s="17" t="str">
        <f>IF(zzz_20261002_Jars[[#This Row],[Jar Type]]="", "", TEXT(_xlfn.XLOOKUP(zzz_20261002_Jars[[#This Row],[Jar Type]], Containers!A:A, Containers!C:C), "General"))</f>
        <v/>
      </c>
      <c r="H58" s="23"/>
      <c r="I58" s="20" t="str" cm="1">
        <f t="array" ref="I5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8" s="20" t="str" cm="1">
        <f t="array" ref="J58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8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8" s="17" t="str" cm="1">
        <f t="array" ref="V58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8" s="17" t="str" cm="1">
        <f t="array" ref="W58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59" spans="1:27">
      <c r="E59" s="17" t="str">
        <f>IF(zzz_20261002_Jars[[#This Row],[Jar Type]]="", "", TEXT(_xlfn.XLOOKUP(zzz_20261002_Jars[[#This Row],[Jar Type]], Containers!A:A, Containers!C:C), "General"))</f>
        <v/>
      </c>
      <c r="H59" s="23"/>
      <c r="I59" s="20" t="str" cm="1">
        <f t="array" ref="I5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59" s="20" t="str" cm="1">
        <f t="array" ref="J59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59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59" s="17" t="str" cm="1">
        <f t="array" ref="V59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59" s="17" t="str" cm="1">
        <f t="array" ref="W59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  <row r="60" spans="1:27">
      <c r="E60" s="17" t="str">
        <f>IF(zzz_20261002_Jars[[#This Row],[Jar Type]]="", "", TEXT(_xlfn.XLOOKUP(zzz_20261002_Jars[[#This Row],[Jar Type]], Containers!A:A, Containers!C:C), "General"))</f>
        <v/>
      </c>
      <c r="H60" s="23"/>
      <c r="I60" s="20" t="str" cm="1">
        <f t="array" ref="I6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(mL)]="1"))), 0), "0000"))</f>
        <v/>
      </c>
      <c r="J60" s="20" t="str" cm="1">
        <f t="array" ref="J60">IF(_xlfn.SINGLE(zzz_20261002_Jars[Jar Type])="", "", TEXT(IFERROR(MEDIAN(_xlfn._xlws.FILTER(VALUE(zzz_20261002_Jars[Water Added (mL)]), (zzz_20261002_Jars[Jar Purpose]=zzz_20261002_Jars[[#This Row],[Jar Purpose]])*(zzz_20261002_Jars[Jar Type]=zzz_20261002_Jars[[#This Row],[Jar Type]])*(zzz_20261002_Jars[Additional Water Added (mL)]="0"))), 0), "0000"))</f>
        <v/>
      </c>
      <c r="R60" s="17" t="str">
        <f>IF(zzz_20261002_Jars[[#This Row],[Jar]]="", "", IFERROR(IFERROR(_xlfn.XLOOKUP(zzz_20261002_Jars[[#This Row],[Jar]], Growing[Growing Jar], Growing[Status]), _xlfn.XLOOKUP(zzz_20261002_Jars[[#This Row],[Jar]], Growing[Seeding Jar], Growing[Status])), "Ready"))</f>
        <v/>
      </c>
      <c r="V60" s="17" t="str" cm="1">
        <f t="array" ref="V60">_xlfn.LET(
    _xlpm.water, zzz_20261002_Jars[[#This Row],[Water Added (mL)]],
    _xlpm.additional, zzz_20261002_Jars[[#This Row],[Additional Water Added (mL)]],
    IF(_xlpm.water="", "", IF(_xlpm.additional="Unknown", VALUE(_xlpm.water), VALUE(_xlpm.water)+VALUE(_xlpm.additional)))
)</f>
        <v/>
      </c>
      <c r="W60" s="17" t="str" cm="1">
        <f t="array" ref="W60">_xlfn.LET(
    _xlpm.fertilizer, zzz_20261002_Jars[[#This Row],[Fertilizer Added (g)]],
    _xlpm.additional, zzz_20261002_Jars[[#This Row],[Additional Fertilizer Added (g)]],
    IF(_xlpm.fertilizer="", "", IF(_xlpm.additional="Unknown", VALUE(_xlpm.fertilizer), VALUE(_xlpm.fertilizer)+VALUE(_xlpm.additional)))
)</f>
        <v/>
      </c>
    </row>
  </sheetData>
  <conditionalFormatting sqref="S11:Y27">
    <cfRule type="expression" dxfId="320" priority="2">
      <formula>AND($Q11="",$N11&lt;&gt;"")</formula>
    </cfRule>
  </conditionalFormatting>
  <conditionalFormatting sqref="S11:Y27">
    <cfRule type="expression" dxfId="319" priority="3">
      <formula>AND($N11="",$A11&lt;&gt;"")</formula>
    </cfRule>
  </conditionalFormatting>
  <conditionalFormatting sqref="A11:AG999999">
    <cfRule type="expression" dxfId="318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B4E1B-7140-49AC-BCA5-F9E5B7451D5E}">
  <dimension ref="A1:AA60"/>
  <sheetViews>
    <sheetView workbookViewId="0">
      <pane xSplit="2" topLeftCell="C1" activePane="topRight" state="frozen"/>
      <selection pane="topRight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2" width="27.28515625" style="17" customWidth="1"/>
    <col min="13" max="13" width="21.42578125" style="17" customWidth="1"/>
    <col min="14" max="14" width="12" style="17" customWidth="1"/>
    <col min="15" max="15" width="19.5703125" style="17" customWidth="1"/>
    <col min="16" max="16" width="19.5703125" style="17" hidden="1" customWidth="1"/>
    <col min="17" max="17" width="15.7109375" style="17" customWidth="1"/>
    <col min="18" max="18" width="12.28515625" style="17" customWidth="1"/>
    <col min="19" max="19" width="15.42578125" style="17" customWidth="1"/>
    <col min="20" max="20" width="16.28515625" style="17" customWidth="1"/>
    <col min="21" max="21" width="12.85546875" style="17" customWidth="1"/>
    <col min="22" max="22" width="17.42578125" style="17" customWidth="1"/>
    <col min="23" max="23" width="16.140625" style="17" customWidth="1"/>
    <col min="24" max="24" width="26.28515625" style="17" customWidth="1"/>
    <col min="25" max="25" width="20.7109375" style="17" customWidth="1"/>
    <col min="26" max="26" width="19.85546875" style="17" customWidth="1"/>
    <col min="27" max="27" width="162.7109375" style="17" customWidth="1"/>
    <col min="28" max="16384" width="9.140625" style="17"/>
  </cols>
  <sheetData>
    <row r="1" spans="1:27">
      <c r="I1" s="22"/>
      <c r="J1" s="22"/>
      <c r="R1" s="17" t="s">
        <v>332</v>
      </c>
      <c r="S1" s="17" t="s">
        <v>333</v>
      </c>
      <c r="U1" s="17" t="s">
        <v>334</v>
      </c>
      <c r="V1" s="3" t="s">
        <v>334</v>
      </c>
    </row>
    <row r="9" spans="1:27">
      <c r="E9" s="19" t="s">
        <v>335</v>
      </c>
      <c r="F9" s="17" t="s">
        <v>336</v>
      </c>
      <c r="I9" s="19" t="s">
        <v>337</v>
      </c>
      <c r="J9" s="19" t="s">
        <v>338</v>
      </c>
      <c r="K9" s="17" t="s">
        <v>336</v>
      </c>
      <c r="T9" s="19" t="s">
        <v>339</v>
      </c>
      <c r="U9" s="17" t="s">
        <v>336</v>
      </c>
      <c r="W9" s="17" t="s">
        <v>336</v>
      </c>
    </row>
    <row r="10" spans="1:27">
      <c r="A10" t="s">
        <v>168</v>
      </c>
      <c r="B10" s="17" t="s">
        <v>340</v>
      </c>
      <c r="C10" s="17" t="s">
        <v>341</v>
      </c>
      <c r="D10" s="17" t="s">
        <v>342</v>
      </c>
      <c r="E10" s="17" t="s">
        <v>343</v>
      </c>
      <c r="F10" s="17" t="s">
        <v>344</v>
      </c>
      <c r="G10" s="17" t="s">
        <v>345</v>
      </c>
      <c r="H10" s="17" t="s">
        <v>346</v>
      </c>
      <c r="I10" s="17" t="s">
        <v>347</v>
      </c>
      <c r="J10" s="17" t="s">
        <v>348</v>
      </c>
      <c r="K10" s="17" t="s">
        <v>349</v>
      </c>
      <c r="L10" s="17" t="s">
        <v>350</v>
      </c>
      <c r="M10" s="17" t="s">
        <v>351</v>
      </c>
      <c r="N10" s="17" t="s">
        <v>200</v>
      </c>
      <c r="O10" s="17" t="s">
        <v>352</v>
      </c>
      <c r="P10" s="17" t="s">
        <v>546</v>
      </c>
      <c r="Q10" s="17" t="s">
        <v>353</v>
      </c>
      <c r="R10" s="17" t="s">
        <v>354</v>
      </c>
      <c r="S10" s="17" t="s">
        <v>355</v>
      </c>
      <c r="T10" s="17" t="s">
        <v>356</v>
      </c>
      <c r="U10" s="17" t="s">
        <v>362</v>
      </c>
      <c r="V10" s="17" t="s">
        <v>547</v>
      </c>
      <c r="W10" s="17" t="s">
        <v>548</v>
      </c>
      <c r="X10" s="17" t="s">
        <v>549</v>
      </c>
      <c r="Y10" s="17" t="s">
        <v>364</v>
      </c>
      <c r="Z10" s="17" t="s">
        <v>365</v>
      </c>
      <c r="AA10" s="17" t="s">
        <v>106</v>
      </c>
    </row>
    <row r="11" spans="1:27">
      <c r="A11" t="s">
        <v>153</v>
      </c>
      <c r="B11" s="19" t="s">
        <v>175</v>
      </c>
      <c r="C11" s="17" t="s">
        <v>366</v>
      </c>
      <c r="D11" s="20" t="s">
        <v>367</v>
      </c>
      <c r="E11" s="21" t="str">
        <f>IF(xxx_Jars25[[#This Row],[Jar Type]]="", "", TEXT(_xlfn.XLOOKUP(xxx_Jars25[[#This Row],[Jar Type]], Containers!A:A, Containers!C:C), "General"))</f>
        <v>1892.7</v>
      </c>
      <c r="F11" s="19" t="s">
        <v>179</v>
      </c>
      <c r="G11" s="19" t="s">
        <v>368</v>
      </c>
      <c r="H11" s="19" t="s">
        <v>369</v>
      </c>
      <c r="I11" s="19" t="str" cm="1">
        <f t="array" ref="I1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1" s="19" t="str" cm="1">
        <f t="array" ref="J1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1" s="17" t="s">
        <v>370</v>
      </c>
      <c r="L11" s="17" t="s">
        <v>14</v>
      </c>
      <c r="M11" s="17" t="s">
        <v>14</v>
      </c>
      <c r="N11" s="19" t="s">
        <v>236</v>
      </c>
      <c r="O11" s="17" t="s">
        <v>371</v>
      </c>
      <c r="P11" s="17">
        <f>IFERROR(VALUE(xxx_Jars25[[#This Row],[Fertilizer Added (g)]]), 0)</f>
        <v>1.48</v>
      </c>
      <c r="Q11" t="s">
        <v>155</v>
      </c>
      <c r="R11" s="17" t="s">
        <v>372</v>
      </c>
      <c r="S11" s="17" t="s">
        <v>373</v>
      </c>
      <c r="T1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1" s="1" t="s">
        <v>375</v>
      </c>
      <c r="V11" s="1" t="s">
        <v>376</v>
      </c>
      <c r="W11" s="17" t="s">
        <v>14</v>
      </c>
      <c r="X11" s="17">
        <f ca="1">IFERROR(SUM(_xlfn.SINGLE(xxx_Jars25[Fertilizer Added]), _xlfn.XLOOKUP(_xlfn.SINGLE(xxx_Jars25[Jar]), JarsPlusPlus_2[Jar], JarsPlusPlus_2[C:Total Fertilizer Added (g)])), _xlfn.SINGLE(xxx_Jars25[Fertilizer Added]))</f>
        <v>2.96</v>
      </c>
      <c r="Y11" s="17" t="s">
        <v>377</v>
      </c>
      <c r="Z11" s="17" t="s">
        <v>378</v>
      </c>
    </row>
    <row r="12" spans="1:27">
      <c r="A12" t="s">
        <v>157</v>
      </c>
      <c r="B12" s="19" t="s">
        <v>175</v>
      </c>
      <c r="C12" s="17" t="s">
        <v>379</v>
      </c>
      <c r="D12" s="20" t="s">
        <v>367</v>
      </c>
      <c r="E12" s="21" t="str">
        <f>IF(xxx_Jars25[[#This Row],[Jar Type]]="", "", TEXT(_xlfn.XLOOKUP(xxx_Jars25[[#This Row],[Jar Type]], Containers!A:A, Containers!C:C), "General"))</f>
        <v>1892.7</v>
      </c>
      <c r="F12" s="19" t="s">
        <v>179</v>
      </c>
      <c r="G12" s="19" t="s">
        <v>368</v>
      </c>
      <c r="H12" s="20" t="s">
        <v>369</v>
      </c>
      <c r="I12" s="20" t="str" cm="1">
        <f t="array" ref="I1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2" s="20" t="str" cm="1">
        <f t="array" ref="J1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2" s="17" t="s">
        <v>370</v>
      </c>
      <c r="L12" s="17" t="s">
        <v>14</v>
      </c>
      <c r="M12" s="17" t="s">
        <v>14</v>
      </c>
      <c r="N12" s="19" t="s">
        <v>236</v>
      </c>
      <c r="O12" s="17" t="s">
        <v>371</v>
      </c>
      <c r="P12" s="17">
        <f>IFERROR(VALUE(xxx_Jars25[[#This Row],[Fertilizer Added (g)]]), 0)</f>
        <v>1.48</v>
      </c>
      <c r="Q12" t="s">
        <v>155</v>
      </c>
      <c r="R12" s="17" t="s">
        <v>372</v>
      </c>
      <c r="S12" s="17" t="s">
        <v>380</v>
      </c>
      <c r="T1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2" s="1" t="s">
        <v>375</v>
      </c>
      <c r="V12" s="1" t="s">
        <v>381</v>
      </c>
      <c r="W12" s="17" t="s">
        <v>14</v>
      </c>
      <c r="X12" s="17">
        <f ca="1">IFERROR(SUM(_xlfn.SINGLE(xxx_Jars25[Fertilizer Added]), _xlfn.XLOOKUP(_xlfn.SINGLE(xxx_Jars25[Jar]), JarsPlusPlus_2[Jar], JarsPlusPlus_2[C:Total Fertilizer Added (g)])), _xlfn.SINGLE(xxx_Jars25[Fertilizer Added]))</f>
        <v>2.96</v>
      </c>
      <c r="Y12" s="17" t="s">
        <v>377</v>
      </c>
      <c r="Z12" s="20" t="s">
        <v>378</v>
      </c>
      <c r="AA12" s="20"/>
    </row>
    <row r="13" spans="1:27">
      <c r="A13" t="s">
        <v>161</v>
      </c>
      <c r="B13" s="19" t="s">
        <v>175</v>
      </c>
      <c r="C13" s="17" t="s">
        <v>382</v>
      </c>
      <c r="D13" s="20" t="s">
        <v>367</v>
      </c>
      <c r="E13" s="21" t="str">
        <f>IF(xxx_Jars25[[#This Row],[Jar Type]]="", "", TEXT(_xlfn.XLOOKUP(xxx_Jars25[[#This Row],[Jar Type]], Containers!A:A, Containers!C:C), "General"))</f>
        <v>1892.7</v>
      </c>
      <c r="F13" s="19" t="s">
        <v>179</v>
      </c>
      <c r="G13" s="19" t="s">
        <v>368</v>
      </c>
      <c r="H13" s="20" t="s">
        <v>369</v>
      </c>
      <c r="I13" s="20" t="str" cm="1">
        <f t="array" ref="I1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3" s="20" t="str" cm="1">
        <f t="array" ref="J1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3" s="17" t="s">
        <v>383</v>
      </c>
      <c r="L13" s="17" t="s">
        <v>14</v>
      </c>
      <c r="M13" s="17" t="s">
        <v>14</v>
      </c>
      <c r="N13" s="19" t="s">
        <v>236</v>
      </c>
      <c r="O13" s="17" t="s">
        <v>384</v>
      </c>
      <c r="P13" s="17">
        <f>IFERROR(VALUE(xxx_Jars25[[#This Row],[Fertilizer Added (g)]]), 0)</f>
        <v>1.1100000000000001</v>
      </c>
      <c r="Q13" t="s">
        <v>155</v>
      </c>
      <c r="R13" s="17" t="s">
        <v>385</v>
      </c>
      <c r="S13" s="17" t="s">
        <v>386</v>
      </c>
      <c r="T1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3" s="1" t="s">
        <v>387</v>
      </c>
      <c r="V13" s="1" t="s">
        <v>388</v>
      </c>
      <c r="W13" s="17" t="s">
        <v>14</v>
      </c>
      <c r="X13" s="17">
        <f ca="1">IFERROR(SUM(_xlfn.SINGLE(xxx_Jars25[Fertilizer Added]), _xlfn.XLOOKUP(_xlfn.SINGLE(xxx_Jars25[Jar]), JarsPlusPlus_2[Jar], JarsPlusPlus_2[C:Total Fertilizer Added (g)])), _xlfn.SINGLE(xxx_Jars25[Fertilizer Added]))</f>
        <v>2.2200000000000002</v>
      </c>
      <c r="Y13" s="17" t="s">
        <v>377</v>
      </c>
      <c r="Z13" s="17" t="s">
        <v>378</v>
      </c>
      <c r="AA13" s="20"/>
    </row>
    <row r="14" spans="1:27">
      <c r="A14" t="s">
        <v>389</v>
      </c>
      <c r="B14" s="19" t="s">
        <v>175</v>
      </c>
      <c r="C14" s="17" t="s">
        <v>390</v>
      </c>
      <c r="D14" s="20" t="s">
        <v>367</v>
      </c>
      <c r="E14" s="21" t="str">
        <f>IF(xxx_Jars25[[#This Row],[Jar Type]]="", "", TEXT(_xlfn.XLOOKUP(xxx_Jars25[[#This Row],[Jar Type]], Containers!A:A, Containers!C:C), "General"))</f>
        <v>1892.7</v>
      </c>
      <c r="F14" s="19" t="s">
        <v>179</v>
      </c>
      <c r="G14" s="19" t="s">
        <v>368</v>
      </c>
      <c r="H14" s="20" t="s">
        <v>369</v>
      </c>
      <c r="I14" s="20" t="str" cm="1">
        <f t="array" ref="I1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4" s="20" t="str" cm="1">
        <f t="array" ref="J1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4" s="17" t="s">
        <v>383</v>
      </c>
      <c r="L14" s="17" t="s">
        <v>14</v>
      </c>
      <c r="M14" s="17" t="s">
        <v>14</v>
      </c>
      <c r="N14" s="19" t="s">
        <v>236</v>
      </c>
      <c r="O14" s="17" t="s">
        <v>391</v>
      </c>
      <c r="P14" s="17">
        <f>IFERROR(VALUE(xxx_Jars25[[#This Row],[Fertilizer Added (g)]]), 0)</f>
        <v>1.44</v>
      </c>
      <c r="Q14" t="s">
        <v>155</v>
      </c>
      <c r="R14" s="17" t="s">
        <v>372</v>
      </c>
      <c r="S14" s="17" t="s">
        <v>392</v>
      </c>
      <c r="T1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4" s="1" t="s">
        <v>387</v>
      </c>
      <c r="V14" s="1" t="s">
        <v>178</v>
      </c>
      <c r="W14" s="17" t="s">
        <v>14</v>
      </c>
      <c r="X14" s="17">
        <f ca="1">IFERROR(SUM(_xlfn.SINGLE(xxx_Jars25[Fertilizer Added]), _xlfn.XLOOKUP(_xlfn.SINGLE(xxx_Jars25[Jar]), JarsPlusPlus_2[Jar], JarsPlusPlus_2[C:Total Fertilizer Added (g)])), _xlfn.SINGLE(xxx_Jars25[Fertilizer Added]))</f>
        <v>2.88</v>
      </c>
      <c r="Y14" s="17" t="s">
        <v>377</v>
      </c>
      <c r="Z14" s="17" t="s">
        <v>378</v>
      </c>
      <c r="AA14" s="20"/>
    </row>
    <row r="15" spans="1:27">
      <c r="A15" t="s">
        <v>326</v>
      </c>
      <c r="B15" s="19" t="s">
        <v>175</v>
      </c>
      <c r="C15" s="17" t="s">
        <v>393</v>
      </c>
      <c r="D15" s="20" t="s">
        <v>367</v>
      </c>
      <c r="E15" s="21" t="str">
        <f>IF(xxx_Jars25[[#This Row],[Jar Type]]="", "", TEXT(_xlfn.XLOOKUP(xxx_Jars25[[#This Row],[Jar Type]], Containers!A:A, Containers!C:C), "General"))</f>
        <v>1892.7</v>
      </c>
      <c r="F15" s="19" t="s">
        <v>179</v>
      </c>
      <c r="G15" s="19" t="s">
        <v>394</v>
      </c>
      <c r="H15" s="20" t="s">
        <v>369</v>
      </c>
      <c r="I15" s="20" t="str" cm="1">
        <f t="array" ref="I1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5" s="20" t="str" cm="1">
        <f t="array" ref="J1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5" s="17" t="s">
        <v>383</v>
      </c>
      <c r="L15" s="17" t="s">
        <v>14</v>
      </c>
      <c r="M15" s="17" t="s">
        <v>14</v>
      </c>
      <c r="N15" s="19" t="s">
        <v>236</v>
      </c>
      <c r="O15" s="17" t="s">
        <v>395</v>
      </c>
      <c r="P15" s="17">
        <f>IFERROR(VALUE(xxx_Jars25[[#This Row],[Fertilizer Added (g)]]), 0)</f>
        <v>1.39</v>
      </c>
      <c r="Q15" t="s">
        <v>155</v>
      </c>
      <c r="R15" s="17" t="s">
        <v>372</v>
      </c>
      <c r="S15" s="17" t="s">
        <v>396</v>
      </c>
      <c r="T15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5" s="1" t="s">
        <v>385</v>
      </c>
      <c r="V15" s="2" t="s">
        <v>397</v>
      </c>
      <c r="W15" s="17" t="s">
        <v>14</v>
      </c>
      <c r="X15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15" s="17" t="s">
        <v>377</v>
      </c>
      <c r="Z15" s="17" t="s">
        <v>378</v>
      </c>
    </row>
    <row r="16" spans="1:27">
      <c r="A16" t="s">
        <v>398</v>
      </c>
      <c r="B16" s="19" t="s">
        <v>175</v>
      </c>
      <c r="C16" s="17" t="s">
        <v>399</v>
      </c>
      <c r="D16" s="20" t="s">
        <v>367</v>
      </c>
      <c r="E16" s="21" t="str">
        <f>IF(xxx_Jars25[[#This Row],[Jar Type]]="", "", TEXT(_xlfn.XLOOKUP(xxx_Jars25[[#This Row],[Jar Type]], Containers!A:A, Containers!C:C), "General"))</f>
        <v>1892.7</v>
      </c>
      <c r="F16" s="19" t="s">
        <v>179</v>
      </c>
      <c r="G16" s="19" t="s">
        <v>400</v>
      </c>
      <c r="H16" s="20" t="s">
        <v>369</v>
      </c>
      <c r="I16" s="20" t="str" cm="1">
        <f t="array" ref="I1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6" s="20" t="str" cm="1">
        <f t="array" ref="J1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6" s="17" t="s">
        <v>370</v>
      </c>
      <c r="L16" s="17" t="s">
        <v>14</v>
      </c>
      <c r="M16" s="17" t="s">
        <v>14</v>
      </c>
      <c r="N16" s="19" t="s">
        <v>236</v>
      </c>
      <c r="O16" s="17" t="s">
        <v>401</v>
      </c>
      <c r="P16" s="17">
        <f>IFERROR(VALUE(xxx_Jars25[[#This Row],[Fertilizer Added (g)]]), 0)</f>
        <v>1.4</v>
      </c>
      <c r="Q16" t="s">
        <v>155</v>
      </c>
      <c r="R16" s="17" t="s">
        <v>385</v>
      </c>
      <c r="S16" s="17" t="s">
        <v>402</v>
      </c>
      <c r="T1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6" s="1" t="s">
        <v>375</v>
      </c>
      <c r="V16" s="2" t="s">
        <v>403</v>
      </c>
      <c r="W16" s="17" t="s">
        <v>14</v>
      </c>
      <c r="X16" s="17">
        <f ca="1">IFERROR(SUM(_xlfn.SINGLE(xxx_Jars25[Fertilizer Added]), _xlfn.XLOOKUP(_xlfn.SINGLE(xxx_Jars25[Jar]), JarsPlusPlus_2[Jar], JarsPlusPlus_2[C:Total Fertilizer Added (g)])), _xlfn.SINGLE(xxx_Jars25[Fertilizer Added]))</f>
        <v>2.8</v>
      </c>
      <c r="Y16" s="17" t="s">
        <v>377</v>
      </c>
      <c r="Z16" s="17" t="s">
        <v>378</v>
      </c>
      <c r="AA16" s="20"/>
    </row>
    <row r="17" spans="1:27">
      <c r="A17" t="s">
        <v>404</v>
      </c>
      <c r="B17" s="19" t="s">
        <v>175</v>
      </c>
      <c r="C17" s="17" t="s">
        <v>405</v>
      </c>
      <c r="D17" s="20" t="s">
        <v>367</v>
      </c>
      <c r="E17" s="21" t="str">
        <f>IF(xxx_Jars25[[#This Row],[Jar Type]]="", "", TEXT(_xlfn.XLOOKUP(xxx_Jars25[[#This Row],[Jar Type]], Containers!A:A, Containers!C:C), "General"))</f>
        <v>1892.7</v>
      </c>
      <c r="F17" s="19" t="s">
        <v>179</v>
      </c>
      <c r="G17" s="19" t="s">
        <v>400</v>
      </c>
      <c r="H17" s="20" t="s">
        <v>369</v>
      </c>
      <c r="I17" s="20" t="str" cm="1">
        <f t="array" ref="I1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7" s="20" t="str" cm="1">
        <f t="array" ref="J1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7" s="17" t="s">
        <v>370</v>
      </c>
      <c r="L17" s="17" t="s">
        <v>14</v>
      </c>
      <c r="M17" s="17" t="s">
        <v>14</v>
      </c>
      <c r="N17" s="19" t="s">
        <v>236</v>
      </c>
      <c r="O17" s="17" t="s">
        <v>406</v>
      </c>
      <c r="P17" s="17">
        <f>IFERROR(VALUE(xxx_Jars25[[#This Row],[Fertilizer Added (g)]]), 0)</f>
        <v>1.43</v>
      </c>
      <c r="Q17" t="s">
        <v>155</v>
      </c>
      <c r="R17" s="19" t="s">
        <v>372</v>
      </c>
      <c r="S17" s="17" t="s">
        <v>407</v>
      </c>
      <c r="T1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7" s="1" t="s">
        <v>375</v>
      </c>
      <c r="V17" s="2" t="s">
        <v>408</v>
      </c>
      <c r="W17" s="17" t="s">
        <v>14</v>
      </c>
      <c r="X17" s="17">
        <f ca="1">IFERROR(SUM(_xlfn.SINGLE(xxx_Jars25[Fertilizer Added]), _xlfn.XLOOKUP(_xlfn.SINGLE(xxx_Jars25[Jar]), JarsPlusPlus_2[Jar], JarsPlusPlus_2[C:Total Fertilizer Added (g)])), _xlfn.SINGLE(xxx_Jars25[Fertilizer Added]))</f>
        <v>2.86</v>
      </c>
      <c r="Y17" s="17" t="s">
        <v>377</v>
      </c>
      <c r="Z17" s="17" t="s">
        <v>378</v>
      </c>
      <c r="AA17" s="20"/>
    </row>
    <row r="18" spans="1:27">
      <c r="A18" t="s">
        <v>409</v>
      </c>
      <c r="B18" s="19" t="s">
        <v>175</v>
      </c>
      <c r="C18" s="17" t="s">
        <v>410</v>
      </c>
      <c r="D18" s="20" t="s">
        <v>367</v>
      </c>
      <c r="E18" s="21" t="str">
        <f>IF(xxx_Jars25[[#This Row],[Jar Type]]="", "", TEXT(_xlfn.XLOOKUP(xxx_Jars25[[#This Row],[Jar Type]], Containers!A:A, Containers!C:C), "General"))</f>
        <v>1892.7</v>
      </c>
      <c r="F18" s="19" t="s">
        <v>179</v>
      </c>
      <c r="G18" s="19" t="s">
        <v>400</v>
      </c>
      <c r="H18" s="20" t="s">
        <v>369</v>
      </c>
      <c r="I18" s="20" t="str" cm="1">
        <f t="array" ref="I1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8" s="20" t="str" cm="1">
        <f t="array" ref="J1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8" s="17" t="s">
        <v>370</v>
      </c>
      <c r="L18" s="17" t="s">
        <v>14</v>
      </c>
      <c r="M18" s="17" t="s">
        <v>14</v>
      </c>
      <c r="N18" s="19" t="s">
        <v>236</v>
      </c>
      <c r="O18" s="17" t="s">
        <v>411</v>
      </c>
      <c r="P18" s="17">
        <f>IFERROR(VALUE(xxx_Jars25[[#This Row],[Fertilizer Added (g)]]), 0)</f>
        <v>1.37</v>
      </c>
      <c r="Q18" t="s">
        <v>155</v>
      </c>
      <c r="R18" s="17" t="s">
        <v>372</v>
      </c>
      <c r="S18" s="17" t="s">
        <v>412</v>
      </c>
      <c r="T1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8" s="1" t="s">
        <v>375</v>
      </c>
      <c r="V18" s="2" t="s">
        <v>413</v>
      </c>
      <c r="W18" s="17" t="s">
        <v>14</v>
      </c>
      <c r="X18" s="17">
        <f ca="1">IFERROR(SUM(_xlfn.SINGLE(xxx_Jars25[Fertilizer Added]), _xlfn.XLOOKUP(_xlfn.SINGLE(xxx_Jars25[Jar]), JarsPlusPlus_2[Jar], JarsPlusPlus_2[C:Total Fertilizer Added (g)])), _xlfn.SINGLE(xxx_Jars25[Fertilizer Added]))</f>
        <v>2.74</v>
      </c>
      <c r="Y18" s="17" t="s">
        <v>377</v>
      </c>
      <c r="Z18" s="17" t="s">
        <v>378</v>
      </c>
      <c r="AA18" s="20"/>
    </row>
    <row r="19" spans="1:27">
      <c r="A19" t="s">
        <v>414</v>
      </c>
      <c r="B19" s="19" t="s">
        <v>175</v>
      </c>
      <c r="C19" s="17" t="s">
        <v>415</v>
      </c>
      <c r="D19" s="20" t="s">
        <v>367</v>
      </c>
      <c r="E19" s="21" t="str">
        <f>IF(xxx_Jars25[[#This Row],[Jar Type]]="", "", TEXT(_xlfn.XLOOKUP(xxx_Jars25[[#This Row],[Jar Type]], Containers!A:A, Containers!C:C), "General"))</f>
        <v>1892.7</v>
      </c>
      <c r="F19" s="19" t="s">
        <v>179</v>
      </c>
      <c r="G19" s="19" t="s">
        <v>400</v>
      </c>
      <c r="H19" s="20" t="s">
        <v>369</v>
      </c>
      <c r="I19" s="20" t="str" cm="1">
        <f t="array" ref="I1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19" s="20" t="str" cm="1">
        <f t="array" ref="J1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19" s="17" t="s">
        <v>370</v>
      </c>
      <c r="L19" s="17" t="s">
        <v>14</v>
      </c>
      <c r="M19" s="17" t="s">
        <v>14</v>
      </c>
      <c r="N19" s="19" t="s">
        <v>236</v>
      </c>
      <c r="O19" s="17" t="s">
        <v>416</v>
      </c>
      <c r="P19" s="17">
        <f>IFERROR(VALUE(xxx_Jars25[[#This Row],[Fertilizer Added (g)]]), 0)</f>
        <v>1.49</v>
      </c>
      <c r="Q19" t="s">
        <v>155</v>
      </c>
      <c r="R19" s="17" t="s">
        <v>375</v>
      </c>
      <c r="S19" s="17" t="s">
        <v>417</v>
      </c>
      <c r="T19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19" s="1" t="s">
        <v>418</v>
      </c>
      <c r="V19" s="2" t="s">
        <v>419</v>
      </c>
      <c r="W19" s="19" t="s">
        <v>153</v>
      </c>
      <c r="X19" s="19">
        <f ca="1">IFERROR(SUM(_xlfn.SINGLE(xxx_Jars25[Fertilizer Added]), _xlfn.XLOOKUP(_xlfn.SINGLE(xxx_Jars25[Jar]), JarsPlusPlus_2[Jar], JarsPlusPlus_2[C:Total Fertilizer Added (g)])), _xlfn.SINGLE(xxx_Jars25[Fertilizer Added]))</f>
        <v>2.98</v>
      </c>
      <c r="Y19" s="17" t="s">
        <v>377</v>
      </c>
      <c r="Z19" s="17" t="s">
        <v>378</v>
      </c>
      <c r="AA19" s="17" t="s">
        <v>420</v>
      </c>
    </row>
    <row r="20" spans="1:27">
      <c r="A20" t="s">
        <v>327</v>
      </c>
      <c r="B20" s="19" t="s">
        <v>175</v>
      </c>
      <c r="C20" s="17" t="s">
        <v>421</v>
      </c>
      <c r="D20" s="20" t="s">
        <v>367</v>
      </c>
      <c r="E20" s="21" t="str">
        <f>IF(xxx_Jars25[[#This Row],[Jar Type]]="", "", TEXT(_xlfn.XLOOKUP(xxx_Jars25[[#This Row],[Jar Type]], Containers!A:A, Containers!C:C), "General"))</f>
        <v>1892.7</v>
      </c>
      <c r="F20" s="19" t="s">
        <v>179</v>
      </c>
      <c r="G20" s="19" t="s">
        <v>422</v>
      </c>
      <c r="H20" s="20" t="s">
        <v>369</v>
      </c>
      <c r="I20" s="20" t="str" cm="1">
        <f t="array" ref="I2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0" s="20" t="str" cm="1">
        <f t="array" ref="J2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0" s="17" t="s">
        <v>383</v>
      </c>
      <c r="L20" s="17" t="s">
        <v>14</v>
      </c>
      <c r="M20" s="17" t="s">
        <v>14</v>
      </c>
      <c r="N20" s="19" t="s">
        <v>236</v>
      </c>
      <c r="O20" s="17" t="s">
        <v>395</v>
      </c>
      <c r="P20" s="17">
        <f>IFERROR(VALUE(xxx_Jars25[[#This Row],[Fertilizer Added (g)]]), 0)</f>
        <v>1.39</v>
      </c>
      <c r="Q20" t="s">
        <v>155</v>
      </c>
      <c r="R20" s="17" t="s">
        <v>387</v>
      </c>
      <c r="S20" s="17" t="s">
        <v>423</v>
      </c>
      <c r="T2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0" s="1" t="s">
        <v>14</v>
      </c>
      <c r="V20" s="3" t="s">
        <v>14</v>
      </c>
      <c r="W20" s="17" t="s">
        <v>14</v>
      </c>
      <c r="X20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20" s="17" t="s">
        <v>377</v>
      </c>
      <c r="Z20" s="17" t="s">
        <v>378</v>
      </c>
    </row>
    <row r="21" spans="1:27">
      <c r="A21" t="s">
        <v>424</v>
      </c>
      <c r="B21" s="19" t="s">
        <v>175</v>
      </c>
      <c r="C21" s="17" t="s">
        <v>425</v>
      </c>
      <c r="D21" s="20" t="s">
        <v>367</v>
      </c>
      <c r="E21" s="21" t="str">
        <f>IF(xxx_Jars25[[#This Row],[Jar Type]]="", "", TEXT(_xlfn.XLOOKUP(xxx_Jars25[[#This Row],[Jar Type]], Containers!A:A, Containers!C:C), "General"))</f>
        <v>1892.7</v>
      </c>
      <c r="F21" s="19" t="s">
        <v>179</v>
      </c>
      <c r="G21" s="19" t="s">
        <v>422</v>
      </c>
      <c r="H21" s="20" t="s">
        <v>369</v>
      </c>
      <c r="I21" s="20" t="str" cm="1">
        <f t="array" ref="I2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1" s="20" t="str" cm="1">
        <f t="array" ref="J2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1" s="17" t="s">
        <v>383</v>
      </c>
      <c r="L21" s="17" t="s">
        <v>14</v>
      </c>
      <c r="M21" s="17" t="s">
        <v>14</v>
      </c>
      <c r="N21" s="19" t="s">
        <v>236</v>
      </c>
      <c r="O21" s="17" t="s">
        <v>395</v>
      </c>
      <c r="P21" s="17">
        <f>IFERROR(VALUE(xxx_Jars25[[#This Row],[Fertilizer Added (g)]]), 0)</f>
        <v>1.39</v>
      </c>
      <c r="Q21" t="s">
        <v>155</v>
      </c>
      <c r="R21" s="17" t="s">
        <v>375</v>
      </c>
      <c r="S21" s="17" t="s">
        <v>426</v>
      </c>
      <c r="T2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1" s="1" t="s">
        <v>375</v>
      </c>
      <c r="V21" s="2" t="s">
        <v>427</v>
      </c>
      <c r="W21" s="17" t="s">
        <v>14</v>
      </c>
      <c r="X21" s="17">
        <f ca="1">IFERROR(SUM(_xlfn.SINGLE(xxx_Jars25[Fertilizer Added]), _xlfn.XLOOKUP(_xlfn.SINGLE(xxx_Jars25[Jar]), JarsPlusPlus_2[Jar], JarsPlusPlus_2[C:Total Fertilizer Added (g)])), _xlfn.SINGLE(xxx_Jars25[Fertilizer Added]))</f>
        <v>2.78</v>
      </c>
      <c r="Y21" s="17" t="s">
        <v>377</v>
      </c>
      <c r="Z21" s="17" t="s">
        <v>378</v>
      </c>
      <c r="AA21" s="20"/>
    </row>
    <row r="22" spans="1:27">
      <c r="A22" t="s">
        <v>428</v>
      </c>
      <c r="B22" s="19" t="s">
        <v>175</v>
      </c>
      <c r="C22" s="17" t="s">
        <v>429</v>
      </c>
      <c r="D22" s="20" t="s">
        <v>367</v>
      </c>
      <c r="E22" s="21" t="str">
        <f>IF(xxx_Jars25[[#This Row],[Jar Type]]="", "", TEXT(_xlfn.XLOOKUP(xxx_Jars25[[#This Row],[Jar Type]], Containers!A:A, Containers!C:C), "General"))</f>
        <v>1892.7</v>
      </c>
      <c r="F22" s="19" t="s">
        <v>179</v>
      </c>
      <c r="G22" s="19" t="s">
        <v>422</v>
      </c>
      <c r="H22" s="20" t="s">
        <v>369</v>
      </c>
      <c r="I22" s="20" t="str" cm="1">
        <f t="array" ref="I2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2" s="20" t="str" cm="1">
        <f t="array" ref="J2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2" s="17" t="s">
        <v>383</v>
      </c>
      <c r="L22" s="17" t="s">
        <v>14</v>
      </c>
      <c r="M22" s="17" t="s">
        <v>14</v>
      </c>
      <c r="N22" s="19" t="s">
        <v>236</v>
      </c>
      <c r="O22" s="17" t="s">
        <v>430</v>
      </c>
      <c r="P22" s="17">
        <f>IFERROR(VALUE(xxx_Jars25[[#This Row],[Fertilizer Added (g)]]), 0)</f>
        <v>1.41</v>
      </c>
      <c r="Q22" t="s">
        <v>155</v>
      </c>
      <c r="R22" s="17" t="s">
        <v>387</v>
      </c>
      <c r="S22" s="17" t="s">
        <v>431</v>
      </c>
      <c r="T2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2" s="3" t="s">
        <v>14</v>
      </c>
      <c r="V22" s="3" t="s">
        <v>14</v>
      </c>
      <c r="W22" s="17" t="s">
        <v>14</v>
      </c>
      <c r="X22" s="17">
        <f ca="1">IFERROR(SUM(_xlfn.SINGLE(xxx_Jars25[Fertilizer Added]), _xlfn.XLOOKUP(_xlfn.SINGLE(xxx_Jars25[Jar]), JarsPlusPlus_2[Jar], JarsPlusPlus_2[C:Total Fertilizer Added (g)])), _xlfn.SINGLE(xxx_Jars25[Fertilizer Added]))</f>
        <v>2.82</v>
      </c>
      <c r="Y22" s="17" t="s">
        <v>377</v>
      </c>
      <c r="Z22" s="17" t="s">
        <v>378</v>
      </c>
    </row>
    <row r="23" spans="1:27">
      <c r="A23" t="s">
        <v>432</v>
      </c>
      <c r="B23" s="19" t="s">
        <v>175</v>
      </c>
      <c r="C23" s="17" t="s">
        <v>433</v>
      </c>
      <c r="D23" s="20" t="s">
        <v>367</v>
      </c>
      <c r="E23" s="21" t="str">
        <f>IF(xxx_Jars25[[#This Row],[Jar Type]]="", "", TEXT(_xlfn.XLOOKUP(xxx_Jars25[[#This Row],[Jar Type]], Containers!A:A, Containers!C:C), "General"))</f>
        <v>1892.7</v>
      </c>
      <c r="F23" s="19" t="s">
        <v>179</v>
      </c>
      <c r="G23" s="19" t="s">
        <v>422</v>
      </c>
      <c r="H23" s="20" t="s">
        <v>369</v>
      </c>
      <c r="I23" s="20" t="str" cm="1">
        <f t="array" ref="I2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3" s="20" t="str" cm="1">
        <f t="array" ref="J2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3" s="17" t="s">
        <v>383</v>
      </c>
      <c r="L23" s="17" t="s">
        <v>14</v>
      </c>
      <c r="M23" s="17" t="s">
        <v>14</v>
      </c>
      <c r="N23" s="19" t="s">
        <v>236</v>
      </c>
      <c r="O23" s="17" t="s">
        <v>434</v>
      </c>
      <c r="P23" s="17">
        <f>IFERROR(VALUE(xxx_Jars25[[#This Row],[Fertilizer Added (g)]]), 0)</f>
        <v>1.8</v>
      </c>
      <c r="Q23" t="s">
        <v>155</v>
      </c>
      <c r="R23" s="17" t="s">
        <v>387</v>
      </c>
      <c r="S23" s="17" t="s">
        <v>435</v>
      </c>
      <c r="T2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3" s="1" t="s">
        <v>375</v>
      </c>
      <c r="V23" s="2" t="s">
        <v>436</v>
      </c>
      <c r="W23" s="17" t="s">
        <v>14</v>
      </c>
      <c r="X23" s="17">
        <f ca="1">IFERROR(SUM(_xlfn.SINGLE(xxx_Jars25[Fertilizer Added]), _xlfn.XLOOKUP(_xlfn.SINGLE(xxx_Jars25[Jar]), JarsPlusPlus_2[Jar], JarsPlusPlus_2[C:Total Fertilizer Added (g)])), _xlfn.SINGLE(xxx_Jars25[Fertilizer Added]))</f>
        <v>3.6</v>
      </c>
      <c r="Y23" s="17" t="s">
        <v>377</v>
      </c>
      <c r="Z23" s="17" t="s">
        <v>378</v>
      </c>
      <c r="AA23" s="20"/>
    </row>
    <row r="24" spans="1:27">
      <c r="A24" t="s">
        <v>437</v>
      </c>
      <c r="B24" s="19" t="s">
        <v>175</v>
      </c>
      <c r="C24" s="17" t="s">
        <v>438</v>
      </c>
      <c r="D24" s="20" t="s">
        <v>367</v>
      </c>
      <c r="E24" s="21" t="str">
        <f>IF(xxx_Jars25[[#This Row],[Jar Type]]="", "", TEXT(_xlfn.XLOOKUP(xxx_Jars25[[#This Row],[Jar Type]], Containers!A:A, Containers!C:C), "General"))</f>
        <v>1892.7</v>
      </c>
      <c r="F24" s="19" t="s">
        <v>179</v>
      </c>
      <c r="G24" s="19" t="s">
        <v>439</v>
      </c>
      <c r="H24" s="20" t="s">
        <v>369</v>
      </c>
      <c r="I24" s="20" t="str" cm="1">
        <f t="array" ref="I2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4" s="20" t="str" cm="1">
        <f t="array" ref="J2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4" s="17" t="s">
        <v>383</v>
      </c>
      <c r="L24" s="17" t="s">
        <v>14</v>
      </c>
      <c r="M24" s="17" t="s">
        <v>14</v>
      </c>
      <c r="N24" s="19" t="s">
        <v>236</v>
      </c>
      <c r="O24" s="17" t="s">
        <v>401</v>
      </c>
      <c r="P24" s="17">
        <f>IFERROR(VALUE(xxx_Jars25[[#This Row],[Fertilizer Added (g)]]), 0)</f>
        <v>1.4</v>
      </c>
      <c r="Q24" t="s">
        <v>155</v>
      </c>
      <c r="R24" s="17" t="s">
        <v>387</v>
      </c>
      <c r="S24" s="17" t="s">
        <v>440</v>
      </c>
      <c r="T2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4" s="1" t="s">
        <v>418</v>
      </c>
      <c r="V24" s="2" t="s">
        <v>441</v>
      </c>
      <c r="W24" s="17" t="s">
        <v>14</v>
      </c>
      <c r="X24" s="17">
        <f ca="1">IFERROR(SUM(_xlfn.SINGLE(xxx_Jars25[Fertilizer Added]), _xlfn.XLOOKUP(_xlfn.SINGLE(xxx_Jars25[Jar]), JarsPlusPlus_2[Jar], JarsPlusPlus_2[C:Total Fertilizer Added (g)])), _xlfn.SINGLE(xxx_Jars25[Fertilizer Added]))</f>
        <v>2.8</v>
      </c>
      <c r="Y24" s="17" t="s">
        <v>377</v>
      </c>
      <c r="Z24" s="17" t="s">
        <v>378</v>
      </c>
      <c r="AA24" s="20"/>
    </row>
    <row r="25" spans="1:27">
      <c r="A25" t="s">
        <v>442</v>
      </c>
      <c r="B25" s="19" t="s">
        <v>175</v>
      </c>
      <c r="C25" s="17" t="s">
        <v>443</v>
      </c>
      <c r="D25" s="20" t="s">
        <v>367</v>
      </c>
      <c r="E25" s="21" t="str">
        <f>IF(xxx_Jars25[[#This Row],[Jar Type]]="", "", TEXT(_xlfn.XLOOKUP(xxx_Jars25[[#This Row],[Jar Type]], Containers!A:A, Containers!C:C), "General"))</f>
        <v>1892.7</v>
      </c>
      <c r="F25" s="19" t="s">
        <v>179</v>
      </c>
      <c r="G25" s="19" t="s">
        <v>439</v>
      </c>
      <c r="H25" s="20" t="s">
        <v>369</v>
      </c>
      <c r="I25" s="20" t="str" cm="1">
        <f t="array" ref="I2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5" s="20" t="str" cm="1">
        <f t="array" ref="J2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5" s="17" t="s">
        <v>383</v>
      </c>
      <c r="L25" s="17" t="s">
        <v>14</v>
      </c>
      <c r="M25" s="17" t="s">
        <v>14</v>
      </c>
      <c r="N25" s="19" t="s">
        <v>236</v>
      </c>
      <c r="O25" s="17" t="s">
        <v>391</v>
      </c>
      <c r="P25" s="17">
        <f>IFERROR(VALUE(xxx_Jars25[[#This Row],[Fertilizer Added (g)]]), 0)</f>
        <v>1.44</v>
      </c>
      <c r="Q25" t="s">
        <v>155</v>
      </c>
      <c r="R25" s="17" t="s">
        <v>372</v>
      </c>
      <c r="S25" s="20" t="s">
        <v>440</v>
      </c>
      <c r="T25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5" s="1" t="s">
        <v>444</v>
      </c>
      <c r="V25" s="2" t="s">
        <v>445</v>
      </c>
      <c r="W25" s="19" t="s">
        <v>153</v>
      </c>
      <c r="X25" s="19">
        <f ca="1">IFERROR(SUM(_xlfn.SINGLE(xxx_Jars25[Fertilizer Added]), _xlfn.XLOOKUP(_xlfn.SINGLE(xxx_Jars25[Jar]), JarsPlusPlus_2[Jar], JarsPlusPlus_2[C:Total Fertilizer Added (g)])), _xlfn.SINGLE(xxx_Jars25[Fertilizer Added]))</f>
        <v>2.88</v>
      </c>
      <c r="Y25" s="17" t="s">
        <v>377</v>
      </c>
      <c r="Z25" s="17" t="s">
        <v>378</v>
      </c>
      <c r="AA25" s="17" t="s">
        <v>420</v>
      </c>
    </row>
    <row r="26" spans="1:27">
      <c r="A26" t="s">
        <v>446</v>
      </c>
      <c r="B26" s="19" t="s">
        <v>175</v>
      </c>
      <c r="C26" s="17" t="s">
        <v>447</v>
      </c>
      <c r="D26" s="20" t="s">
        <v>367</v>
      </c>
      <c r="E26" s="21" t="str">
        <f>IF(xxx_Jars25[[#This Row],[Jar Type]]="", "", TEXT(_xlfn.XLOOKUP(xxx_Jars25[[#This Row],[Jar Type]], Containers!A:A, Containers!C:C), "General"))</f>
        <v>1892.7</v>
      </c>
      <c r="F26" s="19" t="s">
        <v>179</v>
      </c>
      <c r="G26" s="19" t="s">
        <v>439</v>
      </c>
      <c r="H26" s="20" t="s">
        <v>369</v>
      </c>
      <c r="I26" s="20" t="str" cm="1">
        <f t="array" ref="I2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6" s="20" t="str" cm="1">
        <f t="array" ref="J2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6" s="17" t="s">
        <v>383</v>
      </c>
      <c r="L26" s="17" t="s">
        <v>14</v>
      </c>
      <c r="M26" s="17" t="s">
        <v>14</v>
      </c>
      <c r="N26" s="19" t="s">
        <v>236</v>
      </c>
      <c r="O26" s="17" t="s">
        <v>448</v>
      </c>
      <c r="P26" s="17">
        <f>IFERROR(VALUE(xxx_Jars25[[#This Row],[Fertilizer Added (g)]]), 0)</f>
        <v>1.55</v>
      </c>
      <c r="Q26" t="s">
        <v>155</v>
      </c>
      <c r="R26" s="17" t="s">
        <v>387</v>
      </c>
      <c r="S26" s="20" t="s">
        <v>440</v>
      </c>
      <c r="T26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6" s="1" t="s">
        <v>387</v>
      </c>
      <c r="V26" s="2" t="s">
        <v>449</v>
      </c>
      <c r="W26" s="19" t="s">
        <v>153</v>
      </c>
      <c r="X26" s="19">
        <f ca="1">IFERROR(SUM(_xlfn.SINGLE(xxx_Jars25[Fertilizer Added]), _xlfn.XLOOKUP(_xlfn.SINGLE(xxx_Jars25[Jar]), JarsPlusPlus_2[Jar], JarsPlusPlus_2[C:Total Fertilizer Added (g)])), _xlfn.SINGLE(xxx_Jars25[Fertilizer Added]))</f>
        <v>3.1</v>
      </c>
      <c r="Y26" s="17" t="s">
        <v>377</v>
      </c>
      <c r="Z26" s="17" t="s">
        <v>378</v>
      </c>
      <c r="AA26" s="17" t="s">
        <v>420</v>
      </c>
    </row>
    <row r="27" spans="1:27">
      <c r="A27" t="s">
        <v>450</v>
      </c>
      <c r="B27" s="19" t="s">
        <v>175</v>
      </c>
      <c r="C27" s="17" t="s">
        <v>451</v>
      </c>
      <c r="D27" s="20" t="s">
        <v>367</v>
      </c>
      <c r="E27" s="21" t="str">
        <f>IF(xxx_Jars25[[#This Row],[Jar Type]]="", "", TEXT(_xlfn.XLOOKUP(xxx_Jars25[[#This Row],[Jar Type]], Containers!A:A, Containers!C:C), "General"))</f>
        <v>1892.7</v>
      </c>
      <c r="F27" s="19" t="s">
        <v>179</v>
      </c>
      <c r="G27" s="19" t="s">
        <v>439</v>
      </c>
      <c r="H27" s="20" t="s">
        <v>369</v>
      </c>
      <c r="I27" s="20" t="str" cm="1">
        <f t="array" ref="I2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7" s="20" t="str" cm="1">
        <f t="array" ref="J2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7" s="17" t="s">
        <v>383</v>
      </c>
      <c r="L27" s="17" t="s">
        <v>14</v>
      </c>
      <c r="M27" s="17" t="s">
        <v>14</v>
      </c>
      <c r="N27" s="19" t="s">
        <v>236</v>
      </c>
      <c r="O27" s="17" t="s">
        <v>452</v>
      </c>
      <c r="P27" s="17">
        <f>IFERROR(VALUE(xxx_Jars25[[#This Row],[Fertilizer Added (g)]]), 0)</f>
        <v>1.57</v>
      </c>
      <c r="Q27" t="s">
        <v>155</v>
      </c>
      <c r="R27" s="17" t="s">
        <v>453</v>
      </c>
      <c r="S27" s="20" t="s">
        <v>440</v>
      </c>
      <c r="T27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U27" s="1" t="s">
        <v>387</v>
      </c>
      <c r="V27" s="2" t="s">
        <v>454</v>
      </c>
      <c r="W27" s="19" t="s">
        <v>153</v>
      </c>
      <c r="X27" s="19">
        <f ca="1">IFERROR(SUM(_xlfn.SINGLE(xxx_Jars25[Fertilizer Added]), _xlfn.XLOOKUP(_xlfn.SINGLE(xxx_Jars25[Jar]), JarsPlusPlus_2[Jar], JarsPlusPlus_2[C:Total Fertilizer Added (g)])), _xlfn.SINGLE(xxx_Jars25[Fertilizer Added]))</f>
        <v>3.14</v>
      </c>
      <c r="Y27" s="17" t="s">
        <v>377</v>
      </c>
      <c r="Z27" s="17" t="s">
        <v>378</v>
      </c>
      <c r="AA27" s="17" t="s">
        <v>455</v>
      </c>
    </row>
    <row r="28" spans="1:27">
      <c r="A28" t="s">
        <v>456</v>
      </c>
      <c r="B28" s="19" t="s">
        <v>175</v>
      </c>
      <c r="C28" s="17" t="s">
        <v>457</v>
      </c>
      <c r="D28" s="20" t="s">
        <v>458</v>
      </c>
      <c r="E28" s="21" t="str">
        <f>IF(xxx_Jars25[[#This Row],[Jar Type]]="", "", TEXT(_xlfn.XLOOKUP(xxx_Jars25[[#This Row],[Jar Type]], Containers!A:A, Containers!C:C), "General"))</f>
        <v>1892.7</v>
      </c>
      <c r="F28" s="19" t="s">
        <v>153</v>
      </c>
      <c r="G28" s="19" t="s">
        <v>459</v>
      </c>
      <c r="H28" s="20" t="s">
        <v>460</v>
      </c>
      <c r="I28" s="20" t="str" cm="1">
        <f t="array" ref="I2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8" s="20" t="str" cm="1">
        <f t="array" ref="J2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8" s="17" t="s">
        <v>383</v>
      </c>
      <c r="L28" s="17" t="s">
        <v>14</v>
      </c>
      <c r="M28" s="17" t="s">
        <v>14</v>
      </c>
      <c r="N28" s="19" t="s">
        <v>236</v>
      </c>
      <c r="O28" s="19" t="s">
        <v>461</v>
      </c>
      <c r="P28" s="19">
        <f>IFERROR(VALUE(xxx_Jars25[[#This Row],[Fertilizer Added (g)]]), 0)</f>
        <v>1.77</v>
      </c>
      <c r="Q28" t="s">
        <v>155</v>
      </c>
      <c r="R28" s="19" t="s">
        <v>453</v>
      </c>
      <c r="S28" s="19" t="s">
        <v>462</v>
      </c>
      <c r="T28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28" s="19"/>
      <c r="V28" s="19"/>
      <c r="W28" s="17" t="s">
        <v>14</v>
      </c>
      <c r="X28" s="17">
        <f ca="1">IFERROR(SUM(_xlfn.SINGLE(xxx_Jars25[Fertilizer Added]), _xlfn.XLOOKUP(_xlfn.SINGLE(xxx_Jars25[Jar]), JarsPlusPlus_2[Jar], JarsPlusPlus_2[C:Total Fertilizer Added (g)])), _xlfn.SINGLE(xxx_Jars25[Fertilizer Added]))</f>
        <v>3.54</v>
      </c>
      <c r="Y28" s="17" t="s">
        <v>377</v>
      </c>
      <c r="Z28" s="17" t="s">
        <v>378</v>
      </c>
    </row>
    <row r="29" spans="1:27">
      <c r="A29" t="s">
        <v>463</v>
      </c>
      <c r="B29" s="19" t="s">
        <v>175</v>
      </c>
      <c r="C29" s="17" t="s">
        <v>464</v>
      </c>
      <c r="D29" s="20" t="s">
        <v>458</v>
      </c>
      <c r="E29" s="21" t="str">
        <f>IF(xxx_Jars25[[#This Row],[Jar Type]]="", "", TEXT(_xlfn.XLOOKUP(xxx_Jars25[[#This Row],[Jar Type]], Containers!A:A, Containers!C:C), "General"))</f>
        <v>1892.7</v>
      </c>
      <c r="F29" s="19" t="s">
        <v>153</v>
      </c>
      <c r="G29" s="21" t="s">
        <v>459</v>
      </c>
      <c r="H29" s="20" t="s">
        <v>460</v>
      </c>
      <c r="I29" s="20" t="str" cm="1">
        <f t="array" ref="I2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29" s="20" t="str" cm="1">
        <f t="array" ref="J2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29" s="17" t="s">
        <v>465</v>
      </c>
      <c r="L29" s="17" t="s">
        <v>14</v>
      </c>
      <c r="M29" s="17" t="s">
        <v>14</v>
      </c>
      <c r="N29" s="19" t="s">
        <v>236</v>
      </c>
      <c r="O29" s="19" t="s">
        <v>466</v>
      </c>
      <c r="P29" s="19">
        <f>IFERROR(VALUE(xxx_Jars25[[#This Row],[Fertilizer Added (g)]]), 0)</f>
        <v>1.72</v>
      </c>
      <c r="Q29" t="s">
        <v>155</v>
      </c>
      <c r="R29" s="21" t="s">
        <v>453</v>
      </c>
      <c r="S29" s="19" t="s">
        <v>467</v>
      </c>
      <c r="T29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29" s="19"/>
      <c r="V29" s="19"/>
      <c r="W29" s="17" t="s">
        <v>14</v>
      </c>
      <c r="X29" s="17">
        <f ca="1">IFERROR(SUM(_xlfn.SINGLE(xxx_Jars25[Fertilizer Added]), _xlfn.XLOOKUP(_xlfn.SINGLE(xxx_Jars25[Jar]), JarsPlusPlus_2[Jar], JarsPlusPlus_2[C:Total Fertilizer Added (g)])), _xlfn.SINGLE(xxx_Jars25[Fertilizer Added]))</f>
        <v>4.49</v>
      </c>
      <c r="Y29" s="17" t="s">
        <v>377</v>
      </c>
      <c r="Z29" s="17" t="s">
        <v>378</v>
      </c>
    </row>
    <row r="30" spans="1:27">
      <c r="A30" t="s">
        <v>468</v>
      </c>
      <c r="B30" s="19" t="s">
        <v>175</v>
      </c>
      <c r="C30" s="17" t="s">
        <v>468</v>
      </c>
      <c r="D30" s="20" t="s">
        <v>458</v>
      </c>
      <c r="E30" s="21" t="str">
        <f>IF(xxx_Jars25[[#This Row],[Jar Type]]="", "", TEXT(_xlfn.XLOOKUP(xxx_Jars25[[#This Row],[Jar Type]], Containers!A:A, Containers!C:C), "General"))</f>
        <v>1892.7</v>
      </c>
      <c r="F30" s="19" t="s">
        <v>153</v>
      </c>
      <c r="G30" s="21" t="s">
        <v>459</v>
      </c>
      <c r="H30" s="20" t="s">
        <v>460</v>
      </c>
      <c r="I30" s="20" t="str" cm="1">
        <f t="array" ref="I3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0" s="20" t="str" cm="1">
        <f t="array" ref="J3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0" s="17" t="s">
        <v>469</v>
      </c>
      <c r="L30" s="17" t="s">
        <v>14</v>
      </c>
      <c r="M30" s="17" t="s">
        <v>14</v>
      </c>
      <c r="N30" s="19" t="s">
        <v>236</v>
      </c>
      <c r="O30" s="19" t="s">
        <v>470</v>
      </c>
      <c r="P30" s="19">
        <f>IFERROR(VALUE(xxx_Jars25[[#This Row],[Fertilizer Added (g)]]), 0)</f>
        <v>1.67</v>
      </c>
      <c r="Q30" t="s">
        <v>155</v>
      </c>
      <c r="R30" s="21" t="s">
        <v>453</v>
      </c>
      <c r="S30" s="19" t="s">
        <v>471</v>
      </c>
      <c r="T30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0" s="19"/>
      <c r="V30" s="19"/>
      <c r="W30" s="17" t="s">
        <v>14</v>
      </c>
      <c r="X30" s="17">
        <f ca="1">IFERROR(SUM(_xlfn.SINGLE(xxx_Jars25[Fertilizer Added]), _xlfn.XLOOKUP(_xlfn.SINGLE(xxx_Jars25[Jar]), JarsPlusPlus_2[Jar], JarsPlusPlus_2[C:Total Fertilizer Added (g)])), _xlfn.SINGLE(xxx_Jars25[Fertilizer Added]))</f>
        <v>3.34</v>
      </c>
      <c r="Y30" s="17" t="s">
        <v>377</v>
      </c>
      <c r="Z30" s="17" t="s">
        <v>378</v>
      </c>
    </row>
    <row r="31" spans="1:27">
      <c r="A31" t="s">
        <v>472</v>
      </c>
      <c r="B31" s="19" t="s">
        <v>175</v>
      </c>
      <c r="C31" s="17" t="s">
        <v>464</v>
      </c>
      <c r="D31" s="20" t="s">
        <v>458</v>
      </c>
      <c r="E31" s="21" t="str">
        <f>IF(xxx_Jars25[[#This Row],[Jar Type]]="", "", TEXT(_xlfn.XLOOKUP(xxx_Jars25[[#This Row],[Jar Type]], Containers!A:A, Containers!C:C), "General"))</f>
        <v>1892.7</v>
      </c>
      <c r="F31" s="19" t="s">
        <v>153</v>
      </c>
      <c r="G31" s="21" t="s">
        <v>459</v>
      </c>
      <c r="H31" s="20" t="s">
        <v>460</v>
      </c>
      <c r="I31" s="20" t="str" cm="1">
        <f t="array" ref="I3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1" s="20" t="str" cm="1">
        <f t="array" ref="J3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1" s="17" t="s">
        <v>473</v>
      </c>
      <c r="L31" s="17" t="s">
        <v>14</v>
      </c>
      <c r="M31" s="17" t="s">
        <v>14</v>
      </c>
      <c r="N31" s="19" t="s">
        <v>236</v>
      </c>
      <c r="O31" s="19" t="s">
        <v>474</v>
      </c>
      <c r="P31" s="19">
        <f>IFERROR(VALUE(xxx_Jars25[[#This Row],[Fertilizer Added (g)]]), 0)</f>
        <v>1.64</v>
      </c>
      <c r="Q31" t="s">
        <v>155</v>
      </c>
      <c r="R31" s="21" t="s">
        <v>453</v>
      </c>
      <c r="S31" s="19" t="s">
        <v>475</v>
      </c>
      <c r="T31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1" s="19"/>
      <c r="V31" s="19"/>
      <c r="W31" s="17" t="s">
        <v>14</v>
      </c>
      <c r="X31" s="17">
        <f ca="1">IFERROR(SUM(_xlfn.SINGLE(xxx_Jars25[Fertilizer Added]), _xlfn.XLOOKUP(_xlfn.SINGLE(xxx_Jars25[Jar]), JarsPlusPlus_2[Jar], JarsPlusPlus_2[C:Total Fertilizer Added (g)])), _xlfn.SINGLE(xxx_Jars25[Fertilizer Added]))</f>
        <v>4.8</v>
      </c>
      <c r="Y31" s="17" t="s">
        <v>377</v>
      </c>
      <c r="Z31" s="17" t="s">
        <v>378</v>
      </c>
    </row>
    <row r="32" spans="1:27">
      <c r="A32" t="s">
        <v>476</v>
      </c>
      <c r="B32" s="19" t="s">
        <v>175</v>
      </c>
      <c r="C32" s="17" t="s">
        <v>464</v>
      </c>
      <c r="D32" s="20" t="s">
        <v>458</v>
      </c>
      <c r="E32" s="21" t="str">
        <f>IF(xxx_Jars25[[#This Row],[Jar Type]]="", "", TEXT(_xlfn.XLOOKUP(xxx_Jars25[[#This Row],[Jar Type]], Containers!A:A, Containers!C:C), "General"))</f>
        <v>1892.7</v>
      </c>
      <c r="F32" s="19" t="s">
        <v>153</v>
      </c>
      <c r="G32" s="19" t="s">
        <v>477</v>
      </c>
      <c r="H32" s="20" t="s">
        <v>460</v>
      </c>
      <c r="I32" s="20" t="str" cm="1">
        <f t="array" ref="I3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2" s="20" t="str" cm="1">
        <f t="array" ref="J3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2" s="19" t="s">
        <v>370</v>
      </c>
      <c r="L32" s="17" t="s">
        <v>14</v>
      </c>
      <c r="M32" s="17" t="s">
        <v>14</v>
      </c>
      <c r="N32" s="19" t="s">
        <v>236</v>
      </c>
      <c r="O32" s="19" t="s">
        <v>478</v>
      </c>
      <c r="P32" s="19">
        <f>IFERROR(VALUE(xxx_Jars25[[#This Row],[Fertilizer Added (g)]]), 0)</f>
        <v>1.83</v>
      </c>
      <c r="Q32" t="s">
        <v>155</v>
      </c>
      <c r="R32" s="17" t="s">
        <v>387</v>
      </c>
      <c r="S32" s="19" t="s">
        <v>479</v>
      </c>
      <c r="T32" s="19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2" s="19"/>
      <c r="V32" s="19"/>
      <c r="W32" s="17" t="s">
        <v>14</v>
      </c>
      <c r="X32" s="17">
        <f ca="1">IFERROR(SUM(_xlfn.SINGLE(xxx_Jars25[Fertilizer Added]), _xlfn.XLOOKUP(_xlfn.SINGLE(xxx_Jars25[Jar]), JarsPlusPlus_2[Jar], JarsPlusPlus_2[C:Total Fertilizer Added (g)])), _xlfn.SINGLE(xxx_Jars25[Fertilizer Added]))</f>
        <v>3.66</v>
      </c>
      <c r="Y32" s="17" t="s">
        <v>377</v>
      </c>
      <c r="Z32" s="17" t="s">
        <v>378</v>
      </c>
    </row>
    <row r="33" spans="1:27">
      <c r="A33" t="s">
        <v>480</v>
      </c>
      <c r="B33" s="19" t="s">
        <v>177</v>
      </c>
      <c r="C33" s="19" t="s">
        <v>238</v>
      </c>
      <c r="D33" s="20" t="s">
        <v>481</v>
      </c>
      <c r="E33" s="17" t="str">
        <f>IF(xxx_Jars25[[#This Row],[Jar Type]]="", "", TEXT(_xlfn.XLOOKUP(xxx_Jars25[[#This Row],[Jar Type]], Containers!A:A, Containers!C:C), "General"))</f>
        <v>371</v>
      </c>
      <c r="F33" s="19" t="s">
        <v>153</v>
      </c>
      <c r="G33" s="19" t="s">
        <v>477</v>
      </c>
      <c r="H33" s="20" t="s">
        <v>460</v>
      </c>
      <c r="I33" s="20" t="str" cm="1">
        <f t="array" ref="I3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3" s="20" t="str" cm="1">
        <f t="array" ref="J3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3" s="17" t="s">
        <v>482</v>
      </c>
      <c r="L33" s="17" t="s">
        <v>14</v>
      </c>
      <c r="M33" s="17" t="s">
        <v>14</v>
      </c>
      <c r="N33" s="19" t="s">
        <v>236</v>
      </c>
      <c r="O33" s="19" t="s">
        <v>483</v>
      </c>
      <c r="P33" s="19">
        <f>IFERROR(VALUE(xxx_Jars25[[#This Row],[Fertilizer Added (g)]]), 0)</f>
        <v>0.23</v>
      </c>
      <c r="Q33" t="s">
        <v>155</v>
      </c>
      <c r="R33" s="20" t="s">
        <v>14</v>
      </c>
      <c r="S33" s="20" t="s">
        <v>14</v>
      </c>
      <c r="T33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3" s="20"/>
      <c r="V33" s="20"/>
      <c r="W33" s="17" t="s">
        <v>14</v>
      </c>
      <c r="X33" s="17">
        <f ca="1">IFERROR(SUM(_xlfn.SINGLE(xxx_Jars25[Fertilizer Added]), _xlfn.XLOOKUP(_xlfn.SINGLE(xxx_Jars25[Jar]), JarsPlusPlus_2[Jar], JarsPlusPlus_2[C:Total Fertilizer Added (g)])), _xlfn.SINGLE(xxx_Jars25[Fertilizer Added]))</f>
        <v>0.46</v>
      </c>
      <c r="Y33" s="17" t="s">
        <v>377</v>
      </c>
      <c r="Z33" s="17" t="s">
        <v>378</v>
      </c>
    </row>
    <row r="34" spans="1:27">
      <c r="A34" t="s">
        <v>484</v>
      </c>
      <c r="B34" s="19" t="s">
        <v>175</v>
      </c>
      <c r="C34" s="19" t="s">
        <v>238</v>
      </c>
      <c r="D34" s="20" t="s">
        <v>481</v>
      </c>
      <c r="E34" s="19" t="str">
        <f>IF(xxx_Jars25[[#This Row],[Jar Type]]="", "", TEXT(_xlfn.XLOOKUP(xxx_Jars25[[#This Row],[Jar Type]], Containers!A:A, Containers!C:C), "General"))</f>
        <v>1892.7</v>
      </c>
      <c r="F34" s="19" t="s">
        <v>153</v>
      </c>
      <c r="G34" s="19" t="s">
        <v>485</v>
      </c>
      <c r="H34" s="20" t="s">
        <v>460</v>
      </c>
      <c r="I34" s="20" t="str" cm="1">
        <f t="array" ref="I3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4" s="20" t="str" cm="1">
        <f t="array" ref="J3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4" s="17" t="s">
        <v>486</v>
      </c>
      <c r="L34" s="17" t="s">
        <v>14</v>
      </c>
      <c r="M34" s="17" t="s">
        <v>14</v>
      </c>
      <c r="N34" s="19" t="s">
        <v>236</v>
      </c>
      <c r="O34" s="17" t="s">
        <v>179</v>
      </c>
      <c r="P34" s="17">
        <f>IFERROR(VALUE(xxx_Jars25[[#This Row],[Fertilizer Added (g)]]), 0)</f>
        <v>0</v>
      </c>
      <c r="Q34" t="s">
        <v>155</v>
      </c>
      <c r="R34" s="20" t="s">
        <v>14</v>
      </c>
      <c r="S34" s="20" t="s">
        <v>14</v>
      </c>
      <c r="T34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4" s="20"/>
      <c r="V34" s="20"/>
      <c r="W34" s="17" t="s">
        <v>14</v>
      </c>
      <c r="X34" s="17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34" s="17" t="s">
        <v>377</v>
      </c>
      <c r="Z34" s="17" t="s">
        <v>378</v>
      </c>
    </row>
    <row r="35" spans="1:27">
      <c r="A35" t="s">
        <v>487</v>
      </c>
      <c r="B35" s="17" t="s">
        <v>183</v>
      </c>
      <c r="C35" s="8" t="s">
        <v>238</v>
      </c>
      <c r="D35" s="20" t="s">
        <v>481</v>
      </c>
      <c r="E35" s="19" t="str">
        <f>IF(xxx_Jars25[[#This Row],[Jar Type]]="", "", TEXT(_xlfn.XLOOKUP(xxx_Jars25[[#This Row],[Jar Type]], Containers!A:A, Containers!C:C), "General"))</f>
        <v>354</v>
      </c>
      <c r="F35" s="19" t="s">
        <v>153</v>
      </c>
      <c r="G35" s="17" t="s">
        <v>488</v>
      </c>
      <c r="H35" s="20" t="s">
        <v>460</v>
      </c>
      <c r="I35" s="20" t="str" cm="1">
        <f t="array" ref="I3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5" s="20" t="str" cm="1">
        <f t="array" ref="J3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5" s="17" t="s">
        <v>195</v>
      </c>
      <c r="L35" s="17" t="s">
        <v>14</v>
      </c>
      <c r="M35" s="17" t="s">
        <v>14</v>
      </c>
      <c r="N35" s="19" t="s">
        <v>236</v>
      </c>
      <c r="O35" s="19" t="s">
        <v>489</v>
      </c>
      <c r="P35" s="19">
        <f>IFERROR(VALUE(xxx_Jars25[[#This Row],[Fertilizer Added (g)]]), 0)</f>
        <v>0.17</v>
      </c>
      <c r="Q35" t="s">
        <v>155</v>
      </c>
      <c r="R35" s="17" t="s">
        <v>418</v>
      </c>
      <c r="S35" s="20" t="s">
        <v>14</v>
      </c>
      <c r="T35" s="20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U35" s="20"/>
      <c r="V35" s="20"/>
      <c r="W35" s="17" t="s">
        <v>14</v>
      </c>
      <c r="X35" s="17">
        <f ca="1">IFERROR(SUM(_xlfn.SINGLE(xxx_Jars25[Fertilizer Added]), _xlfn.XLOOKUP(_xlfn.SINGLE(xxx_Jars25[Jar]), JarsPlusPlus_2[Jar], JarsPlusPlus_2[C:Total Fertilizer Added (g)])), _xlfn.SINGLE(xxx_Jars25[Fertilizer Added]))</f>
        <v>0.34</v>
      </c>
      <c r="Y35" s="20" t="s">
        <v>490</v>
      </c>
      <c r="Z35" s="17" t="s">
        <v>378</v>
      </c>
    </row>
    <row r="36" spans="1:27">
      <c r="A36" t="s">
        <v>491</v>
      </c>
      <c r="B36" s="19" t="s">
        <v>175</v>
      </c>
      <c r="C36" s="17" t="s">
        <v>447</v>
      </c>
      <c r="D36" s="20" t="s">
        <v>458</v>
      </c>
      <c r="E36" s="21" t="str">
        <f>IF(xxx_Jars25[[#This Row],[Jar Type]]="", "", TEXT(_xlfn.XLOOKUP(xxx_Jars25[[#This Row],[Jar Type]], Containers!A:A, Containers!C:C), "General"))</f>
        <v>1892.7</v>
      </c>
      <c r="F36" s="19" t="s">
        <v>153</v>
      </c>
      <c r="G36" s="17" t="s">
        <v>488</v>
      </c>
      <c r="H36" s="20" t="s">
        <v>460</v>
      </c>
      <c r="I36" s="20" t="str" cm="1">
        <f t="array" ref="I3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6" s="20" t="str" cm="1">
        <f t="array" ref="J3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6" s="17" t="s">
        <v>492</v>
      </c>
      <c r="L36" s="17" t="s">
        <v>14</v>
      </c>
      <c r="M36" s="17" t="s">
        <v>14</v>
      </c>
      <c r="N36" s="19" t="s">
        <v>236</v>
      </c>
      <c r="O36" s="17" t="s">
        <v>493</v>
      </c>
      <c r="P36" s="17">
        <f>IFERROR(VALUE(xxx_Jars25[[#This Row],[Fertilizer Added (g)]]), 0)</f>
        <v>1.87</v>
      </c>
      <c r="Q36" t="s">
        <v>155</v>
      </c>
      <c r="R36" s="17" t="s">
        <v>375</v>
      </c>
      <c r="S36" s="17" t="s">
        <v>494</v>
      </c>
      <c r="T3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6" s="17" t="s">
        <v>14</v>
      </c>
      <c r="X36" s="17">
        <f ca="1">IFERROR(SUM(_xlfn.SINGLE(xxx_Jars25[Fertilizer Added]), _xlfn.XLOOKUP(_xlfn.SINGLE(xxx_Jars25[Jar]), JarsPlusPlus_2[Jar], JarsPlusPlus_2[C:Total Fertilizer Added (g)])), _xlfn.SINGLE(xxx_Jars25[Fertilizer Added]))</f>
        <v>3.74</v>
      </c>
      <c r="Y36" s="17" t="s">
        <v>377</v>
      </c>
      <c r="Z36" s="17" t="s">
        <v>378</v>
      </c>
    </row>
    <row r="37" spans="1:27">
      <c r="A37" t="s">
        <v>495</v>
      </c>
      <c r="B37" s="19" t="s">
        <v>175</v>
      </c>
      <c r="C37" s="17" t="s">
        <v>464</v>
      </c>
      <c r="D37" s="20" t="s">
        <v>458</v>
      </c>
      <c r="E37" s="21" t="str">
        <f>IF(xxx_Jars25[[#This Row],[Jar Type]]="", "", TEXT(_xlfn.XLOOKUP(xxx_Jars25[[#This Row],[Jar Type]], Containers!A:A, Containers!C:C), "General"))</f>
        <v>1892.7</v>
      </c>
      <c r="F37" s="19" t="s">
        <v>153</v>
      </c>
      <c r="G37" s="17" t="s">
        <v>488</v>
      </c>
      <c r="H37" s="20" t="s">
        <v>460</v>
      </c>
      <c r="I37" s="20" t="str" cm="1">
        <f t="array" ref="I3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7" s="20" t="str" cm="1">
        <f t="array" ref="J3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7" s="17" t="s">
        <v>383</v>
      </c>
      <c r="L37" s="17" t="s">
        <v>14</v>
      </c>
      <c r="M37" s="17" t="s">
        <v>14</v>
      </c>
      <c r="N37" s="19" t="s">
        <v>236</v>
      </c>
      <c r="O37" s="17" t="s">
        <v>478</v>
      </c>
      <c r="P37" s="17">
        <f>IFERROR(VALUE(xxx_Jars25[[#This Row],[Fertilizer Added (g)]]), 0)</f>
        <v>1.83</v>
      </c>
      <c r="Q37" t="s">
        <v>155</v>
      </c>
      <c r="R37" s="17" t="s">
        <v>387</v>
      </c>
      <c r="S37" s="17" t="s">
        <v>496</v>
      </c>
      <c r="T3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7" s="17" t="s">
        <v>14</v>
      </c>
      <c r="X37" s="17">
        <f ca="1">IFERROR(SUM(_xlfn.SINGLE(xxx_Jars25[Fertilizer Added]), _xlfn.XLOOKUP(_xlfn.SINGLE(xxx_Jars25[Jar]), JarsPlusPlus_2[Jar], JarsPlusPlus_2[C:Total Fertilizer Added (g)])), _xlfn.SINGLE(xxx_Jars25[Fertilizer Added]))</f>
        <v>5.46</v>
      </c>
      <c r="Y37" s="17" t="s">
        <v>377</v>
      </c>
      <c r="Z37" s="17" t="s">
        <v>378</v>
      </c>
    </row>
    <row r="38" spans="1:27">
      <c r="A38" t="s">
        <v>498</v>
      </c>
      <c r="B38" s="19" t="s">
        <v>175</v>
      </c>
      <c r="C38" s="17" t="s">
        <v>499</v>
      </c>
      <c r="D38" s="20" t="s">
        <v>458</v>
      </c>
      <c r="E38" s="17" t="str">
        <f>IF(xxx_Jars25[[#This Row],[Jar Type]]="", "", TEXT(_xlfn.XLOOKUP(xxx_Jars25[[#This Row],[Jar Type]], Containers!A:A, Containers!C:C), "General"))</f>
        <v>1892.7</v>
      </c>
      <c r="F38" s="19" t="s">
        <v>153</v>
      </c>
      <c r="G38" s="17" t="s">
        <v>488</v>
      </c>
      <c r="H38" s="20" t="s">
        <v>460</v>
      </c>
      <c r="I38" s="20" t="str" cm="1">
        <f t="array" ref="I3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8" s="20" t="str" cm="1">
        <f t="array" ref="J3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8" s="17" t="s">
        <v>465</v>
      </c>
      <c r="L38" s="17" t="s">
        <v>14</v>
      </c>
      <c r="M38" s="17" t="s">
        <v>14</v>
      </c>
      <c r="N38" s="19" t="s">
        <v>236</v>
      </c>
      <c r="O38" s="17" t="s">
        <v>500</v>
      </c>
      <c r="P38" s="17">
        <f>IFERROR(VALUE(xxx_Jars25[[#This Row],[Fertilizer Added (g)]]), 0)</f>
        <v>1.71</v>
      </c>
      <c r="Q38" t="s">
        <v>155</v>
      </c>
      <c r="R38" s="17" t="s">
        <v>372</v>
      </c>
      <c r="S38" s="17" t="s">
        <v>501</v>
      </c>
      <c r="T3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8" s="19" t="s">
        <v>153</v>
      </c>
      <c r="X38" s="19">
        <f ca="1">IFERROR(SUM(_xlfn.SINGLE(xxx_Jars25[Fertilizer Added]), _xlfn.XLOOKUP(_xlfn.SINGLE(xxx_Jars25[Jar]), JarsPlusPlus_2[Jar], JarsPlusPlus_2[C:Total Fertilizer Added (g)])), _xlfn.SINGLE(xxx_Jars25[Fertilizer Added]))</f>
        <v>4.1139999999999999</v>
      </c>
      <c r="Y38" s="17" t="s">
        <v>377</v>
      </c>
      <c r="Z38" s="17" t="s">
        <v>378</v>
      </c>
      <c r="AA38" s="17" t="s">
        <v>502</v>
      </c>
    </row>
    <row r="39" spans="1:27">
      <c r="A39" t="s">
        <v>503</v>
      </c>
      <c r="B39" s="19" t="s">
        <v>175</v>
      </c>
      <c r="C39" s="17" t="s">
        <v>504</v>
      </c>
      <c r="D39" s="20" t="s">
        <v>458</v>
      </c>
      <c r="E39" s="17" t="str">
        <f>IF(xxx_Jars25[[#This Row],[Jar Type]]="", "", TEXT(_xlfn.XLOOKUP(xxx_Jars25[[#This Row],[Jar Type]], Containers!A:A, Containers!C:C), "General"))</f>
        <v>1892.7</v>
      </c>
      <c r="F39" s="19" t="s">
        <v>153</v>
      </c>
      <c r="G39" s="17" t="s">
        <v>488</v>
      </c>
      <c r="H39" s="20" t="s">
        <v>460</v>
      </c>
      <c r="I39" s="20" t="str" cm="1">
        <f t="array" ref="I3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39" s="20" t="str" cm="1">
        <f t="array" ref="J3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39" s="17" t="s">
        <v>469</v>
      </c>
      <c r="L39" s="17" t="s">
        <v>14</v>
      </c>
      <c r="M39" s="17" t="s">
        <v>14</v>
      </c>
      <c r="N39" s="19" t="s">
        <v>236</v>
      </c>
      <c r="O39" s="17" t="s">
        <v>505</v>
      </c>
      <c r="P39" s="17">
        <f>IFERROR(VALUE(xxx_Jars25[[#This Row],[Fertilizer Added (g)]]), 0)</f>
        <v>1.66</v>
      </c>
      <c r="Q39" t="s">
        <v>155</v>
      </c>
      <c r="R39" s="17" t="s">
        <v>387</v>
      </c>
      <c r="S39" s="17" t="s">
        <v>506</v>
      </c>
      <c r="T39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39" s="17" t="s">
        <v>14</v>
      </c>
      <c r="X39" s="17">
        <f ca="1">IFERROR(SUM(_xlfn.SINGLE(xxx_Jars25[Fertilizer Added]), _xlfn.XLOOKUP(_xlfn.SINGLE(xxx_Jars25[Jar]), JarsPlusPlus_2[Jar], JarsPlusPlus_2[C:Total Fertilizer Added (g)])), _xlfn.SINGLE(xxx_Jars25[Fertilizer Added]))</f>
        <v>4.2119999999999997</v>
      </c>
      <c r="Y39" s="17" t="s">
        <v>377</v>
      </c>
      <c r="Z39" s="17" t="s">
        <v>378</v>
      </c>
    </row>
    <row r="40" spans="1:27">
      <c r="A40" t="s">
        <v>507</v>
      </c>
      <c r="B40" s="19" t="s">
        <v>175</v>
      </c>
      <c r="C40" s="17" t="s">
        <v>507</v>
      </c>
      <c r="D40" s="20" t="s">
        <v>458</v>
      </c>
      <c r="E40" s="17" t="str">
        <f>IF(xxx_Jars25[[#This Row],[Jar Type]]="", "", TEXT(_xlfn.XLOOKUP(xxx_Jars25[[#This Row],[Jar Type]], Containers!A:A, Containers!C:C), "General"))</f>
        <v>1892.7</v>
      </c>
      <c r="F40" s="19" t="s">
        <v>153</v>
      </c>
      <c r="G40" s="17" t="s">
        <v>488</v>
      </c>
      <c r="H40" s="20" t="s">
        <v>460</v>
      </c>
      <c r="I40" s="20" t="str" cm="1">
        <f t="array" ref="I4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0" s="20" t="str" cm="1">
        <f t="array" ref="J4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0" s="17" t="s">
        <v>473</v>
      </c>
      <c r="L40" s="17" t="s">
        <v>14</v>
      </c>
      <c r="M40" s="17" t="s">
        <v>14</v>
      </c>
      <c r="N40" s="19" t="s">
        <v>236</v>
      </c>
      <c r="O40" s="17" t="s">
        <v>508</v>
      </c>
      <c r="P40" s="17">
        <f>IFERROR(VALUE(xxx_Jars25[[#This Row],[Fertilizer Added (g)]]), 0)</f>
        <v>1.61</v>
      </c>
      <c r="Q40" t="s">
        <v>155</v>
      </c>
      <c r="R40" s="17" t="s">
        <v>387</v>
      </c>
      <c r="S40" s="17" t="s">
        <v>509</v>
      </c>
      <c r="T40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0" s="17" t="s">
        <v>14</v>
      </c>
      <c r="X40" s="17">
        <f ca="1">IFERROR(SUM(_xlfn.SINGLE(xxx_Jars25[Fertilizer Added]), _xlfn.XLOOKUP(_xlfn.SINGLE(xxx_Jars25[Jar]), JarsPlusPlus_2[Jar], JarsPlusPlus_2[C:Total Fertilizer Added (g)])), _xlfn.SINGLE(xxx_Jars25[Fertilizer Added]))</f>
        <v>3.22</v>
      </c>
      <c r="Y40" s="17" t="s">
        <v>377</v>
      </c>
      <c r="Z40" s="17" t="s">
        <v>378</v>
      </c>
    </row>
    <row r="41" spans="1:27">
      <c r="A41" t="s">
        <v>510</v>
      </c>
      <c r="B41" s="19" t="s">
        <v>175</v>
      </c>
      <c r="C41" s="17" t="s">
        <v>510</v>
      </c>
      <c r="D41" s="20" t="s">
        <v>458</v>
      </c>
      <c r="E41" s="17" t="str">
        <f>IF(xxx_Jars25[[#This Row],[Jar Type]]="", "", TEXT(_xlfn.XLOOKUP(xxx_Jars25[[#This Row],[Jar Type]], Containers!A:A, Containers!C:C), "General"))</f>
        <v>1892.7</v>
      </c>
      <c r="F41" s="19" t="s">
        <v>153</v>
      </c>
      <c r="G41" s="17" t="s">
        <v>488</v>
      </c>
      <c r="H41" s="20" t="s">
        <v>460</v>
      </c>
      <c r="I41" s="20" t="str" cm="1">
        <f t="array" ref="I4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1" s="20" t="str" cm="1">
        <f t="array" ref="J4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1" s="17" t="s">
        <v>511</v>
      </c>
      <c r="L41" s="17" t="s">
        <v>14</v>
      </c>
      <c r="M41" s="17" t="s">
        <v>14</v>
      </c>
      <c r="N41" s="19" t="s">
        <v>236</v>
      </c>
      <c r="O41" s="17" t="s">
        <v>512</v>
      </c>
      <c r="P41" s="17">
        <f>IFERROR(VALUE(xxx_Jars25[[#This Row],[Fertilizer Added (g)]]), 0)</f>
        <v>1.54</v>
      </c>
      <c r="Q41" t="s">
        <v>155</v>
      </c>
      <c r="R41" s="17" t="s">
        <v>387</v>
      </c>
      <c r="S41" s="17" t="s">
        <v>513</v>
      </c>
      <c r="T41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W41" s="17" t="s">
        <v>14</v>
      </c>
      <c r="X41" s="17">
        <f ca="1">IFERROR(SUM(_xlfn.SINGLE(xxx_Jars25[Fertilizer Added]), _xlfn.XLOOKUP(_xlfn.SINGLE(xxx_Jars25[Jar]), JarsPlusPlus_2[Jar], JarsPlusPlus_2[C:Total Fertilizer Added (g)])), _xlfn.SINGLE(xxx_Jars25[Fertilizer Added]))</f>
        <v>3.08</v>
      </c>
      <c r="Y41" s="17" t="s">
        <v>377</v>
      </c>
      <c r="Z41" s="17" t="s">
        <v>378</v>
      </c>
    </row>
    <row r="42" spans="1:27">
      <c r="A42" t="s">
        <v>514</v>
      </c>
      <c r="B42" s="17" t="s">
        <v>189</v>
      </c>
      <c r="C42" s="8" t="s">
        <v>238</v>
      </c>
      <c r="D42" s="17" t="s">
        <v>481</v>
      </c>
      <c r="E42" s="17" t="str">
        <f>IF(xxx_Jars25[[#This Row],[Jar Type]]="", "", TEXT(_xlfn.XLOOKUP(xxx_Jars25[[#This Row],[Jar Type]], Containers!A:A, Containers!C:C), "General"))</f>
        <v>361</v>
      </c>
      <c r="F42" s="19" t="s">
        <v>153</v>
      </c>
      <c r="G42" s="19" t="s">
        <v>515</v>
      </c>
      <c r="H42" s="20" t="s">
        <v>460</v>
      </c>
      <c r="I42" s="20" t="str" cm="1">
        <f t="array" ref="I4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2" s="20" t="str" cm="1">
        <f t="array" ref="J4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2" s="17" t="s">
        <v>482</v>
      </c>
      <c r="L42" s="17" t="s">
        <v>14</v>
      </c>
      <c r="M42" s="17" t="s">
        <v>14</v>
      </c>
      <c r="N42" s="19" t="s">
        <v>236</v>
      </c>
      <c r="O42" s="17" t="s">
        <v>179</v>
      </c>
      <c r="P42" s="17">
        <f>IFERROR(VALUE(xxx_Jars25[[#This Row],[Fertilizer Added (g)]]), 0)</f>
        <v>0</v>
      </c>
      <c r="Q42" t="s">
        <v>155</v>
      </c>
      <c r="R42" s="17" t="s">
        <v>14</v>
      </c>
      <c r="S42" s="17" t="s">
        <v>14</v>
      </c>
      <c r="T4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2" s="17" t="s">
        <v>14</v>
      </c>
      <c r="X42" s="17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2" s="17" t="s">
        <v>490</v>
      </c>
      <c r="Z42" s="17" t="s">
        <v>378</v>
      </c>
    </row>
    <row r="43" spans="1:27">
      <c r="A43" t="s">
        <v>516</v>
      </c>
      <c r="B43" s="17" t="s">
        <v>194</v>
      </c>
      <c r="C43" s="8" t="s">
        <v>238</v>
      </c>
      <c r="D43" s="17" t="s">
        <v>481</v>
      </c>
      <c r="E43" s="17" t="str">
        <f>IF(xxx_Jars25[[#This Row],[Jar Type]]="", "", TEXT(_xlfn.XLOOKUP(xxx_Jars25[[#This Row],[Jar Type]], Containers!A:A, Containers!C:C), "General"))</f>
        <v>250</v>
      </c>
      <c r="F43" s="19" t="s">
        <v>153</v>
      </c>
      <c r="G43" s="19" t="s">
        <v>517</v>
      </c>
      <c r="H43" s="20" t="s">
        <v>460</v>
      </c>
      <c r="I43" s="20" t="str" cm="1">
        <f t="array" ref="I4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3" s="20" t="str" cm="1">
        <f t="array" ref="J4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3" s="19" t="s">
        <v>518</v>
      </c>
      <c r="L43" s="17" t="s">
        <v>14</v>
      </c>
      <c r="M43" s="17" t="s">
        <v>14</v>
      </c>
      <c r="N43" s="19" t="s">
        <v>236</v>
      </c>
      <c r="O43" s="17" t="s">
        <v>179</v>
      </c>
      <c r="P43" s="17">
        <f>IFERROR(VALUE(xxx_Jars25[[#This Row],[Fertilizer Added (g)]]), 0)</f>
        <v>0</v>
      </c>
      <c r="Q43" t="s">
        <v>155</v>
      </c>
      <c r="R43" s="17" t="s">
        <v>14</v>
      </c>
      <c r="S43" s="17" t="s">
        <v>14</v>
      </c>
      <c r="T4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3" s="19" t="s">
        <v>153</v>
      </c>
      <c r="X43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3" s="17" t="s">
        <v>519</v>
      </c>
      <c r="Z43" s="17" t="s">
        <v>378</v>
      </c>
      <c r="AA43" s="17" t="s">
        <v>520</v>
      </c>
    </row>
    <row r="44" spans="1:27">
      <c r="A44" t="s">
        <v>521</v>
      </c>
      <c r="B44" s="20" t="s">
        <v>194</v>
      </c>
      <c r="C44" s="8" t="s">
        <v>238</v>
      </c>
      <c r="D44" s="19" t="s">
        <v>481</v>
      </c>
      <c r="E44" s="17" t="str">
        <f>IF(xxx_Jars25[[#This Row],[Jar Type]]="", "", TEXT(_xlfn.XLOOKUP(xxx_Jars25[[#This Row],[Jar Type]], Containers!A:A, Containers!C:C), "General"))</f>
        <v>250</v>
      </c>
      <c r="F44" s="19" t="s">
        <v>153</v>
      </c>
      <c r="G44" s="21" t="s">
        <v>517</v>
      </c>
      <c r="H44" s="20" t="s">
        <v>460</v>
      </c>
      <c r="I44" s="20" t="str" cm="1">
        <f t="array" ref="I4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4" s="20" t="str" cm="1">
        <f t="array" ref="J4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4" s="21" t="s">
        <v>518</v>
      </c>
      <c r="L44" s="17" t="s">
        <v>14</v>
      </c>
      <c r="M44" s="17" t="s">
        <v>14</v>
      </c>
      <c r="N44" s="19" t="s">
        <v>236</v>
      </c>
      <c r="O44" s="17" t="s">
        <v>179</v>
      </c>
      <c r="P44" s="17">
        <f>IFERROR(VALUE(xxx_Jars25[[#This Row],[Fertilizer Added (g)]]), 0)</f>
        <v>0</v>
      </c>
      <c r="Q44" t="s">
        <v>155</v>
      </c>
      <c r="R44" s="17" t="s">
        <v>14</v>
      </c>
      <c r="S44" s="17" t="s">
        <v>14</v>
      </c>
      <c r="T44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4" s="19" t="s">
        <v>153</v>
      </c>
      <c r="X44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4" s="20" t="s">
        <v>519</v>
      </c>
      <c r="Z44" s="17" t="s">
        <v>378</v>
      </c>
      <c r="AA44" s="3" t="s">
        <v>520</v>
      </c>
    </row>
    <row r="45" spans="1:27">
      <c r="A45" t="s">
        <v>522</v>
      </c>
      <c r="B45" s="20" t="s">
        <v>194</v>
      </c>
      <c r="C45" s="8" t="s">
        <v>238</v>
      </c>
      <c r="D45" s="19" t="s">
        <v>481</v>
      </c>
      <c r="E45" s="17" t="str">
        <f>IF(xxx_Jars25[[#This Row],[Jar Type]]="", "", TEXT(_xlfn.XLOOKUP(xxx_Jars25[[#This Row],[Jar Type]], Containers!A:A, Containers!C:C), "General"))</f>
        <v>250</v>
      </c>
      <c r="F45" s="19" t="s">
        <v>153</v>
      </c>
      <c r="G45" s="21" t="s">
        <v>517</v>
      </c>
      <c r="H45" s="20" t="s">
        <v>460</v>
      </c>
      <c r="I45" s="20" t="str" cm="1">
        <f t="array" ref="I4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5" s="20" t="str" cm="1">
        <f t="array" ref="J4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5" s="21" t="s">
        <v>518</v>
      </c>
      <c r="L45" s="17" t="s">
        <v>14</v>
      </c>
      <c r="M45" s="17" t="s">
        <v>14</v>
      </c>
      <c r="N45" s="19" t="s">
        <v>236</v>
      </c>
      <c r="O45" s="17" t="s">
        <v>179</v>
      </c>
      <c r="P45" s="17">
        <f>IFERROR(VALUE(xxx_Jars25[[#This Row],[Fertilizer Added (g)]]), 0)</f>
        <v>0</v>
      </c>
      <c r="Q45" t="s">
        <v>155</v>
      </c>
      <c r="R45" s="17" t="s">
        <v>14</v>
      </c>
      <c r="S45" s="17" t="s">
        <v>14</v>
      </c>
      <c r="T45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5" s="19" t="s">
        <v>153</v>
      </c>
      <c r="X45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5" s="20" t="s">
        <v>519</v>
      </c>
      <c r="Z45" s="17" t="s">
        <v>378</v>
      </c>
      <c r="AA45" s="3" t="s">
        <v>520</v>
      </c>
    </row>
    <row r="46" spans="1:27">
      <c r="A46" t="s">
        <v>523</v>
      </c>
      <c r="B46" s="17" t="s">
        <v>194</v>
      </c>
      <c r="C46" s="8" t="s">
        <v>238</v>
      </c>
      <c r="D46" s="17" t="s">
        <v>481</v>
      </c>
      <c r="E46" s="17" t="str">
        <f>IF(xxx_Jars25[[#This Row],[Jar Type]]="", "", TEXT(_xlfn.XLOOKUP(xxx_Jars25[[#This Row],[Jar Type]], Containers!A:A, Containers!C:C), "General"))</f>
        <v>250</v>
      </c>
      <c r="F46" s="19" t="s">
        <v>179</v>
      </c>
      <c r="G46" s="19" t="s">
        <v>524</v>
      </c>
      <c r="H46" s="20" t="s">
        <v>460</v>
      </c>
      <c r="I46" s="20" t="str" cm="1">
        <f t="array" ref="I4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6" s="20" t="str" cm="1">
        <f t="array" ref="J4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6" s="19" t="s">
        <v>525</v>
      </c>
      <c r="L46" s="17" t="s">
        <v>14</v>
      </c>
      <c r="M46" s="17" t="s">
        <v>14</v>
      </c>
      <c r="N46" s="19" t="s">
        <v>236</v>
      </c>
      <c r="O46" s="17" t="s">
        <v>179</v>
      </c>
      <c r="P46" s="17">
        <f>IFERROR(VALUE(xxx_Jars25[[#This Row],[Fertilizer Added (g)]]), 0)</f>
        <v>0</v>
      </c>
      <c r="Q46" t="s">
        <v>155</v>
      </c>
      <c r="R46" s="17" t="s">
        <v>14</v>
      </c>
      <c r="S46" s="17" t="s">
        <v>14</v>
      </c>
      <c r="T46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6" s="19" t="s">
        <v>179</v>
      </c>
      <c r="X46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6" s="17" t="s">
        <v>519</v>
      </c>
      <c r="Z46" s="17" t="s">
        <v>378</v>
      </c>
    </row>
    <row r="47" spans="1:27">
      <c r="A47" t="s">
        <v>526</v>
      </c>
      <c r="B47" s="20" t="s">
        <v>194</v>
      </c>
      <c r="C47" s="8" t="s">
        <v>238</v>
      </c>
      <c r="D47" s="19" t="s">
        <v>481</v>
      </c>
      <c r="E47" s="17" t="str">
        <f>IF(xxx_Jars25[[#This Row],[Jar Type]]="", "", TEXT(_xlfn.XLOOKUP(xxx_Jars25[[#This Row],[Jar Type]], Containers!A:A, Containers!C:C), "General"))</f>
        <v>250</v>
      </c>
      <c r="F47" s="19" t="s">
        <v>179</v>
      </c>
      <c r="G47" s="21" t="s">
        <v>524</v>
      </c>
      <c r="H47" s="20" t="s">
        <v>460</v>
      </c>
      <c r="I47" s="20" t="str" cm="1">
        <f t="array" ref="I4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7" s="20" t="str" cm="1">
        <f t="array" ref="J4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7" s="21" t="s">
        <v>527</v>
      </c>
      <c r="L47" s="17" t="s">
        <v>14</v>
      </c>
      <c r="M47" s="17" t="s">
        <v>14</v>
      </c>
      <c r="N47" s="19" t="s">
        <v>236</v>
      </c>
      <c r="O47" s="17" t="s">
        <v>179</v>
      </c>
      <c r="P47" s="17">
        <f>IFERROR(VALUE(xxx_Jars25[[#This Row],[Fertilizer Added (g)]]), 0)</f>
        <v>0</v>
      </c>
      <c r="Q47" t="s">
        <v>155</v>
      </c>
      <c r="R47" s="17" t="s">
        <v>14</v>
      </c>
      <c r="S47" s="17" t="s">
        <v>14</v>
      </c>
      <c r="T47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Finished</v>
      </c>
      <c r="W47" s="19" t="s">
        <v>179</v>
      </c>
      <c r="X47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7" s="20" t="s">
        <v>519</v>
      </c>
      <c r="Z47" s="17" t="s">
        <v>378</v>
      </c>
    </row>
    <row r="48" spans="1:27">
      <c r="A48" t="s">
        <v>528</v>
      </c>
      <c r="B48" s="20" t="s">
        <v>194</v>
      </c>
      <c r="C48" s="8" t="s">
        <v>238</v>
      </c>
      <c r="D48" s="19" t="s">
        <v>481</v>
      </c>
      <c r="E48" s="17" t="str">
        <f>IF(xxx_Jars25[[#This Row],[Jar Type]]="", "", TEXT(_xlfn.XLOOKUP(xxx_Jars25[[#This Row],[Jar Type]], Containers!A:A, Containers!C:C), "General"))</f>
        <v>250</v>
      </c>
      <c r="F48" s="19" t="s">
        <v>179</v>
      </c>
      <c r="G48" s="21" t="s">
        <v>524</v>
      </c>
      <c r="H48" s="20" t="s">
        <v>460</v>
      </c>
      <c r="I48" s="20" t="str" cm="1">
        <f t="array" ref="I4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8" s="20" t="str" cm="1">
        <f t="array" ref="J4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8" s="21" t="s">
        <v>529</v>
      </c>
      <c r="L48" s="17" t="s">
        <v>14</v>
      </c>
      <c r="M48" s="17" t="s">
        <v>14</v>
      </c>
      <c r="N48" s="19" t="s">
        <v>236</v>
      </c>
      <c r="O48" s="17" t="s">
        <v>179</v>
      </c>
      <c r="P48" s="17">
        <f>IFERROR(VALUE(xxx_Jars25[[#This Row],[Fertilizer Added (g)]]), 0)</f>
        <v>0</v>
      </c>
      <c r="Q48" t="s">
        <v>155</v>
      </c>
      <c r="R48" s="17" t="s">
        <v>14</v>
      </c>
      <c r="S48" s="17" t="s">
        <v>14</v>
      </c>
      <c r="T48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Growing</v>
      </c>
      <c r="W48" s="19" t="s">
        <v>179</v>
      </c>
      <c r="X48" s="19">
        <f ca="1">IFERROR(SUM(_xlfn.SINGLE(xxx_Jars25[Fertilizer Added]), _xlfn.XLOOKUP(_xlfn.SINGLE(xxx_Jars25[Jar]), JarsPlusPlus_2[Jar], JarsPlusPlus_2[C:Total Fertilizer Added (g)])), _xlfn.SINGLE(xxx_Jars25[Fertilizer Added]))</f>
        <v>0</v>
      </c>
      <c r="Y48" s="20" t="s">
        <v>519</v>
      </c>
      <c r="Z48" s="17" t="s">
        <v>378</v>
      </c>
    </row>
    <row r="49" spans="1:26">
      <c r="A49" s="10" t="s">
        <v>530</v>
      </c>
      <c r="B49" s="19" t="s">
        <v>175</v>
      </c>
      <c r="D49" s="17" t="s">
        <v>458</v>
      </c>
      <c r="E49" s="17" t="str">
        <f>IF(xxx_Jars25[[#This Row],[Jar Type]]="", "", TEXT(_xlfn.XLOOKUP(xxx_Jars25[[#This Row],[Jar Type]], Containers!A:A, Containers!C:C), "General"))</f>
        <v>1892.7</v>
      </c>
      <c r="F49" s="19" t="s">
        <v>153</v>
      </c>
      <c r="G49" s="19" t="s">
        <v>531</v>
      </c>
      <c r="H49" s="23" t="s">
        <v>460</v>
      </c>
      <c r="I49" s="20" t="str" cm="1">
        <f t="array" ref="I4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49" s="20" t="str" cm="1">
        <f t="array" ref="J4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49" s="19" t="s">
        <v>383</v>
      </c>
      <c r="L49" s="17" t="s">
        <v>14</v>
      </c>
      <c r="M49" s="17" t="s">
        <v>14</v>
      </c>
      <c r="N49" s="19" t="s">
        <v>236</v>
      </c>
      <c r="P49" s="17">
        <f>IFERROR(VALUE(xxx_Jars25[[#This Row],[Fertilizer Added (g)]]), 0)</f>
        <v>0</v>
      </c>
      <c r="Q49" t="s">
        <v>155</v>
      </c>
      <c r="T49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W49" s="19" t="s">
        <v>179</v>
      </c>
      <c r="X49" s="17">
        <f ca="1">IFERROR(SUM(_xlfn.SINGLE(xxx_Jars25[Fertilizer Added]), _xlfn.XLOOKUP(_xlfn.SINGLE(xxx_Jars25[Jar]), JarsPlusPlus_2[Jar], JarsPlusPlus_2[C:Total Fertilizer Added (g)])), _xlfn.SINGLE(xxx_Jars25[Fertilizer Added]))</f>
        <v>2.89</v>
      </c>
      <c r="Y49" s="17" t="s">
        <v>377</v>
      </c>
      <c r="Z49" s="17" t="s">
        <v>378</v>
      </c>
    </row>
    <row r="50" spans="1:26">
      <c r="A50" s="10" t="s">
        <v>532</v>
      </c>
      <c r="B50" s="19" t="s">
        <v>175</v>
      </c>
      <c r="D50" s="3" t="s">
        <v>458</v>
      </c>
      <c r="E50" s="17" t="str">
        <f>IF(xxx_Jars25[[#This Row],[Jar Type]]="", "", TEXT(_xlfn.XLOOKUP(xxx_Jars25[[#This Row],[Jar Type]], Containers!A:A, Containers!C:C), "General"))</f>
        <v>1892.7</v>
      </c>
      <c r="F50" s="19" t="s">
        <v>153</v>
      </c>
      <c r="G50" s="19" t="s">
        <v>531</v>
      </c>
      <c r="H50" s="23" t="s">
        <v>460</v>
      </c>
      <c r="I50" s="20" t="str" cm="1">
        <f t="array" ref="I5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0" s="20" t="str" cm="1">
        <f t="array" ref="J5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0" s="19" t="s">
        <v>383</v>
      </c>
      <c r="L50" s="17" t="s">
        <v>14</v>
      </c>
      <c r="M50" s="17" t="s">
        <v>14</v>
      </c>
      <c r="N50" s="19" t="s">
        <v>236</v>
      </c>
      <c r="P50" s="17">
        <f>IFERROR(VALUE(xxx_Jars25[[#This Row],[Fertilizer Added (g)]]), 0)</f>
        <v>0</v>
      </c>
      <c r="Q50" t="s">
        <v>155</v>
      </c>
      <c r="T50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>Ready</v>
      </c>
      <c r="W50" s="8" t="s">
        <v>179</v>
      </c>
      <c r="X50" s="17">
        <f ca="1">IFERROR(SUM(_xlfn.SINGLE(xxx_Jars25[Fertilizer Added]), _xlfn.XLOOKUP(_xlfn.SINGLE(xxx_Jars25[Jar]), JarsPlusPlus_2[Jar], JarsPlusPlus_2[C:Total Fertilizer Added (g)])), _xlfn.SINGLE(xxx_Jars25[Fertilizer Added]))</f>
        <v>2.9</v>
      </c>
      <c r="Y50" s="17" t="s">
        <v>377</v>
      </c>
      <c r="Z50" s="17" t="s">
        <v>378</v>
      </c>
    </row>
    <row r="51" spans="1:26">
      <c r="A51" s="10" t="s">
        <v>533</v>
      </c>
      <c r="B51" s="17" t="s">
        <v>177</v>
      </c>
      <c r="C51" s="8" t="s">
        <v>238</v>
      </c>
      <c r="D51" s="17" t="s">
        <v>481</v>
      </c>
      <c r="E51" s="17" t="str">
        <f>IF(xxx_Jars25[[#This Row],[Jar Type]]="", "", TEXT(_xlfn.XLOOKUP(xxx_Jars25[[#This Row],[Jar Type]], Containers!A:A, Containers!C:C), "General"))</f>
        <v>371</v>
      </c>
      <c r="F51" s="19" t="s">
        <v>153</v>
      </c>
      <c r="G51" s="19" t="s">
        <v>531</v>
      </c>
      <c r="H51" s="23" t="s">
        <v>460</v>
      </c>
      <c r="I51" s="20" t="str" cm="1">
        <f t="array" ref="I51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1" s="20" t="str" cm="1">
        <f t="array" ref="J51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1" s="19" t="s">
        <v>482</v>
      </c>
      <c r="L51" s="17" t="s">
        <v>14</v>
      </c>
      <c r="M51" s="17" t="s">
        <v>14</v>
      </c>
      <c r="N51" s="19" t="s">
        <v>236</v>
      </c>
      <c r="O51" s="19" t="s">
        <v>534</v>
      </c>
      <c r="P51" s="19">
        <f>IFERROR(VALUE(xxx_Jars25[[#This Row],[Fertilizer Added (g)]]), 0)</f>
        <v>0.28000000000000003</v>
      </c>
      <c r="Q51" t="s">
        <v>155</v>
      </c>
      <c r="R51" s="19" t="s">
        <v>535</v>
      </c>
      <c r="S51" s="19" t="s">
        <v>536</v>
      </c>
      <c r="T51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Seeding</v>
      </c>
      <c r="W51" s="8" t="s">
        <v>179</v>
      </c>
      <c r="X51" s="17">
        <f ca="1">IFERROR(SUM(_xlfn.SINGLE(xxx_Jars25[Fertilizer Added]), _xlfn.XLOOKUP(_xlfn.SINGLE(xxx_Jars25[Jar]), JarsPlusPlus_2[Jar], JarsPlusPlus_2[C:Total Fertilizer Added (g)])), _xlfn.SINGLE(xxx_Jars25[Fertilizer Added]))</f>
        <v>0.56000000000000005</v>
      </c>
      <c r="Y51" s="20" t="s">
        <v>519</v>
      </c>
      <c r="Z51" s="17" t="s">
        <v>378</v>
      </c>
    </row>
    <row r="52" spans="1:26">
      <c r="A52" s="10" t="s">
        <v>537</v>
      </c>
      <c r="B52" s="17" t="s">
        <v>189</v>
      </c>
      <c r="C52" s="8" t="s">
        <v>238</v>
      </c>
      <c r="D52" s="3" t="s">
        <v>481</v>
      </c>
      <c r="E52" s="17" t="str">
        <f>IF(xxx_Jars25[[#This Row],[Jar Type]]="", "", TEXT(_xlfn.XLOOKUP(xxx_Jars25[[#This Row],[Jar Type]], Containers!A:A, Containers!C:C), "General"))</f>
        <v>361</v>
      </c>
      <c r="F52" s="19" t="s">
        <v>153</v>
      </c>
      <c r="G52" s="19" t="s">
        <v>531</v>
      </c>
      <c r="H52" s="23" t="s">
        <v>460</v>
      </c>
      <c r="I52" s="20" t="str" cm="1">
        <f t="array" ref="I52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2" s="20" t="str" cm="1">
        <f t="array" ref="J52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2" s="19" t="s">
        <v>538</v>
      </c>
      <c r="L52" s="17" t="s">
        <v>14</v>
      </c>
      <c r="M52" s="17" t="s">
        <v>14</v>
      </c>
      <c r="N52" s="19" t="s">
        <v>236</v>
      </c>
      <c r="O52" s="19" t="s">
        <v>539</v>
      </c>
      <c r="P52" s="19">
        <f>IFERROR(VALUE(xxx_Jars25[[#This Row],[Fertilizer Added (g)]]), 0)</f>
        <v>0.3</v>
      </c>
      <c r="Q52" t="s">
        <v>155</v>
      </c>
      <c r="R52" s="19" t="s">
        <v>540</v>
      </c>
      <c r="S52" s="19" t="s">
        <v>541</v>
      </c>
      <c r="T52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Seeding</v>
      </c>
      <c r="W52" s="8" t="s">
        <v>179</v>
      </c>
      <c r="X52" s="17">
        <f ca="1">IFERROR(SUM(_xlfn.SINGLE(xxx_Jars25[Fertilizer Added]), _xlfn.XLOOKUP(_xlfn.SINGLE(xxx_Jars25[Jar]), JarsPlusPlus_2[Jar], JarsPlusPlus_2[C:Total Fertilizer Added (g)])), _xlfn.SINGLE(xxx_Jars25[Fertilizer Added]))</f>
        <v>0.6</v>
      </c>
      <c r="Y52" s="20" t="s">
        <v>519</v>
      </c>
      <c r="Z52" s="17" t="s">
        <v>378</v>
      </c>
    </row>
    <row r="53" spans="1:26">
      <c r="A53" s="10" t="s">
        <v>542</v>
      </c>
      <c r="B53" s="17" t="s">
        <v>183</v>
      </c>
      <c r="C53" s="8" t="s">
        <v>238</v>
      </c>
      <c r="D53" s="3" t="s">
        <v>481</v>
      </c>
      <c r="E53" s="17" t="str">
        <f>IF(xxx_Jars25[[#This Row],[Jar Type]]="", "", TEXT(_xlfn.XLOOKUP(xxx_Jars25[[#This Row],[Jar Type]], Containers!A:A, Containers!C:C), "General"))</f>
        <v>354</v>
      </c>
      <c r="F53" s="19" t="s">
        <v>153</v>
      </c>
      <c r="G53" s="19" t="s">
        <v>531</v>
      </c>
      <c r="H53" s="23" t="s">
        <v>460</v>
      </c>
      <c r="I53" s="20" t="str" cm="1">
        <f t="array" ref="I53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>0000</v>
      </c>
      <c r="J53" s="20" t="str" cm="1">
        <f t="array" ref="J53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>0000</v>
      </c>
      <c r="K53" s="19" t="s">
        <v>195</v>
      </c>
      <c r="L53" s="17" t="s">
        <v>14</v>
      </c>
      <c r="M53" s="17" t="s">
        <v>14</v>
      </c>
      <c r="N53" s="19" t="s">
        <v>236</v>
      </c>
      <c r="O53" s="19" t="s">
        <v>543</v>
      </c>
      <c r="P53" s="19">
        <f>IFERROR(VALUE(xxx_Jars25[[#This Row],[Fertilizer Added (g)]]), 0)</f>
        <v>0.24</v>
      </c>
      <c r="Q53" t="s">
        <v>155</v>
      </c>
      <c r="R53" s="19" t="s">
        <v>544</v>
      </c>
      <c r="S53" s="19" t="s">
        <v>545</v>
      </c>
      <c r="T53" s="17" t="str">
        <f ca="1">IF(xxx_Jars25[[#This Row],[Jar]]="", "", IFERROR(IFERROR(_xlfn.XLOOKUP(xxx_Jars25[[#This Row],[Jar]], Growing[Growing Jar], Growing[Status]), _xlfn.XLOOKUP(xxx_Jars25[[#This Row],[Jar]], Growing[Seeding Jar], Growing[Status])), "Ready"))</f>
        <v>Seeding</v>
      </c>
      <c r="W53" s="8" t="s">
        <v>179</v>
      </c>
      <c r="X53" s="17">
        <f ca="1">IFERROR(SUM(_xlfn.SINGLE(xxx_Jars25[Fertilizer Added]), _xlfn.XLOOKUP(_xlfn.SINGLE(xxx_Jars25[Jar]), JarsPlusPlus_2[Jar], JarsPlusPlus_2[C:Total Fertilizer Added (g)])), _xlfn.SINGLE(xxx_Jars25[Fertilizer Added]))</f>
        <v>0.48</v>
      </c>
      <c r="Y53" s="20" t="s">
        <v>519</v>
      </c>
      <c r="Z53" s="17" t="s">
        <v>378</v>
      </c>
    </row>
    <row r="54" spans="1:26">
      <c r="E54" s="17" t="str">
        <f>IF(xxx_Jars25[[#This Row],[Jar Type]]="", "", TEXT(_xlfn.XLOOKUP(xxx_Jars25[[#This Row],[Jar Type]], Containers!A:A, Containers!C:C), "General"))</f>
        <v/>
      </c>
      <c r="H54" s="23"/>
      <c r="I54" s="20" t="str" cm="1">
        <f t="array" ref="I54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4" s="20" t="str" cm="1">
        <f t="array" ref="J54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4" s="17">
        <f>IFERROR(VALUE(xxx_Jars25[[#This Row],[Fertilizer Added (g)]]), 0)</f>
        <v>0</v>
      </c>
      <c r="T54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4" s="17" t="str" cm="1">
        <f t="array" ref="W54">_xlfn.LET(
    _xlpm.water, xxx_Jars25[[#This Row],[Water Added (mL)]],
    _xlpm.additional,#REF!,
    IF( _xlpm.water="", "", IF(_xlpm.additional="Unknown", VALUE(_xlpm.water), VALUE(_xlpm.water)+VALUE(_xlpm.additional)))
)</f>
        <v/>
      </c>
      <c r="X54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5" spans="1:26">
      <c r="E55" s="17" t="str">
        <f>IF(xxx_Jars25[[#This Row],[Jar Type]]="", "", TEXT(_xlfn.XLOOKUP(xxx_Jars25[[#This Row],[Jar Type]], Containers!A:A, Containers!C:C), "General"))</f>
        <v/>
      </c>
      <c r="H55" s="23"/>
      <c r="I55" s="20" t="str" cm="1">
        <f t="array" ref="I55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5" s="20" t="str" cm="1">
        <f t="array" ref="J55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5" s="17">
        <f>IFERROR(VALUE(xxx_Jars25[[#This Row],[Fertilizer Added (g)]]), 0)</f>
        <v>0</v>
      </c>
      <c r="T55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5" s="17" t="str" cm="1">
        <f t="array" ref="W55">_xlfn.LET(
    _xlpm.water, xxx_Jars25[[#This Row],[Water Added (mL)]],
    _xlpm.additional,#REF!,
    IF( _xlpm.water="", "", IF(_xlpm.additional="Unknown", VALUE(_xlpm.water), VALUE(_xlpm.water)+VALUE(_xlpm.additional)))
)</f>
        <v/>
      </c>
      <c r="X55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6" spans="1:26">
      <c r="E56" s="17" t="str">
        <f>IF(xxx_Jars25[[#This Row],[Jar Type]]="", "", TEXT(_xlfn.XLOOKUP(xxx_Jars25[[#This Row],[Jar Type]], Containers!A:A, Containers!C:C), "General"))</f>
        <v/>
      </c>
      <c r="H56" s="23"/>
      <c r="I56" s="20" t="str" cm="1">
        <f t="array" ref="I56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6" s="20" t="str" cm="1">
        <f t="array" ref="J56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6" s="17">
        <f>IFERROR(VALUE(xxx_Jars25[[#This Row],[Fertilizer Added (g)]]), 0)</f>
        <v>0</v>
      </c>
      <c r="T56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6" s="17" t="str" cm="1">
        <f t="array" ref="W56">_xlfn.LET(
    _xlpm.water, xxx_Jars25[[#This Row],[Water Added (mL)]],
    _xlpm.additional,#REF!,
    IF( _xlpm.water="", "", IF(_xlpm.additional="Unknown", VALUE(_xlpm.water), VALUE(_xlpm.water)+VALUE(_xlpm.additional)))
)</f>
        <v/>
      </c>
      <c r="X56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7" spans="1:26">
      <c r="E57" s="17" t="str">
        <f>IF(xxx_Jars25[[#This Row],[Jar Type]]="", "", TEXT(_xlfn.XLOOKUP(xxx_Jars25[[#This Row],[Jar Type]], Containers!A:A, Containers!C:C), "General"))</f>
        <v/>
      </c>
      <c r="H57" s="23"/>
      <c r="I57" s="20" t="str" cm="1">
        <f t="array" ref="I57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7" s="20" t="str" cm="1">
        <f t="array" ref="J57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7" s="17">
        <f>IFERROR(VALUE(xxx_Jars25[[#This Row],[Fertilizer Added (g)]]), 0)</f>
        <v>0</v>
      </c>
      <c r="T57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7" s="17" t="str" cm="1">
        <f t="array" ref="W57">_xlfn.LET(
    _xlpm.water, xxx_Jars25[[#This Row],[Water Added (mL)]],
    _xlpm.additional,#REF!,
    IF( _xlpm.water="", "", IF(_xlpm.additional="Unknown", VALUE(_xlpm.water), VALUE(_xlpm.water)+VALUE(_xlpm.additional)))
)</f>
        <v/>
      </c>
      <c r="X57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8" spans="1:26">
      <c r="E58" s="17" t="str">
        <f>IF(xxx_Jars25[[#This Row],[Jar Type]]="", "", TEXT(_xlfn.XLOOKUP(xxx_Jars25[[#This Row],[Jar Type]], Containers!A:A, Containers!C:C), "General"))</f>
        <v/>
      </c>
      <c r="H58" s="23"/>
      <c r="I58" s="20" t="str" cm="1">
        <f t="array" ref="I58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8" s="20" t="str" cm="1">
        <f t="array" ref="J58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8" s="17">
        <f>IFERROR(VALUE(xxx_Jars25[[#This Row],[Fertilizer Added (g)]]), 0)</f>
        <v>0</v>
      </c>
      <c r="T58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8" s="17" t="str" cm="1">
        <f t="array" ref="W58">_xlfn.LET(
    _xlpm.water, xxx_Jars25[[#This Row],[Water Added (mL)]],
    _xlpm.additional,#REF!,
    IF( _xlpm.water="", "", IF(_xlpm.additional="Unknown", VALUE(_xlpm.water), VALUE(_xlpm.water)+VALUE(_xlpm.additional)))
)</f>
        <v/>
      </c>
      <c r="X58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59" spans="1:26">
      <c r="E59" s="17" t="str">
        <f>IF(xxx_Jars25[[#This Row],[Jar Type]]="", "", TEXT(_xlfn.XLOOKUP(xxx_Jars25[[#This Row],[Jar Type]], Containers!A:A, Containers!C:C), "General"))</f>
        <v/>
      </c>
      <c r="H59" s="23"/>
      <c r="I59" s="20" t="str" cm="1">
        <f t="array" ref="I59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59" s="20" t="str" cm="1">
        <f t="array" ref="J59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59" s="17">
        <f>IFERROR(VALUE(xxx_Jars25[[#This Row],[Fertilizer Added (g)]]), 0)</f>
        <v>0</v>
      </c>
      <c r="T59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59" s="17" t="str" cm="1">
        <f t="array" ref="W59">_xlfn.LET(
    _xlpm.water, xxx_Jars25[[#This Row],[Water Added (mL)]],
    _xlpm.additional,#REF!,
    IF( _xlpm.water="", "", IF(_xlpm.additional="Unknown", VALUE(_xlpm.water), VALUE(_xlpm.water)+VALUE(_xlpm.additional)))
)</f>
        <v/>
      </c>
      <c r="X59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  <row r="60" spans="1:26">
      <c r="E60" s="17" t="str">
        <f>IF(xxx_Jars25[[#This Row],[Jar Type]]="", "", TEXT(_xlfn.XLOOKUP(xxx_Jars25[[#This Row],[Jar Type]], Containers!A:A, Containers!C:C), "General"))</f>
        <v/>
      </c>
      <c r="H60" s="23"/>
      <c r="I60" s="20" t="str" cm="1">
        <f t="array" ref="I60">IF(_xlfn.SINGLE(xxx_Jars25[Jar Type])="", "", TEXT(IFERROR(MEDIAN(_xlfn._xlws.FILTER(VALUE(xxx_Jars25[Water Added (mL)]), (xxx_Jars25[Jar Purpose]=xxx_Jars25[[#This Row],[Jar Purpose]])*(xxx_Jars25[Jar Type]=xxx_Jars25[[#This Row],[Jar Type]])*(#REF!="1"))), 0), "0000"))</f>
        <v/>
      </c>
      <c r="J60" s="20" t="str" cm="1">
        <f t="array" ref="J60">IF(_xlfn.SINGLE(xxx_Jars25[Jar Type])="", "", TEXT(IFERROR(MEDIAN(_xlfn._xlws.FILTER(VALUE(xxx_Jars25[Water Added (mL)]), (xxx_Jars25[Jar Purpose]=xxx_Jars25[[#This Row],[Jar Purpose]])*(xxx_Jars25[Jar Type]=xxx_Jars25[[#This Row],[Jar Type]])*(#REF!="0"))), 0), "0000"))</f>
        <v/>
      </c>
      <c r="P60" s="17">
        <f>IFERROR(VALUE(xxx_Jars25[[#This Row],[Fertilizer Added (g)]]), 0)</f>
        <v>0</v>
      </c>
      <c r="T60" s="17" t="str">
        <f>IF(xxx_Jars25[[#This Row],[Jar]]="", "", IFERROR(IFERROR(_xlfn.XLOOKUP(xxx_Jars25[[#This Row],[Jar]], Growing[Growing Jar], Growing[Status]), _xlfn.XLOOKUP(xxx_Jars25[[#This Row],[Jar]], Growing[Seeding Jar], Growing[Status])), "Ready"))</f>
        <v/>
      </c>
      <c r="W60" s="17" t="str" cm="1">
        <f t="array" ref="W60">_xlfn.LET(
    _xlpm.water, xxx_Jars25[[#This Row],[Water Added (mL)]],
    _xlpm.additional,#REF!,
    IF( _xlpm.water="", "", IF(_xlpm.additional="Unknown", VALUE(_xlpm.water), VALUE(_xlpm.water)+VALUE(_xlpm.additional)))
)</f>
        <v/>
      </c>
      <c r="X60" s="17">
        <f ca="1">IFERROR(SUM(_xlfn.SINGLE(xxx_Jars25[Fertilizer Added]), _xlfn.XLOOKUP(_xlfn.SINGLE(xxx_Jars25[Jar]), JarsPlusPlus_2[Jar], JarsPlusPlus_2[C:Total Fertilizer Added (g)])), _xlfn.SINGLE(xxx_Jars25[Fertilizer Added]))</f>
        <v>0</v>
      </c>
    </row>
  </sheetData>
  <conditionalFormatting sqref="U11:X27">
    <cfRule type="expression" dxfId="288" priority="3">
      <formula>AND($S11="",$O11&lt;&gt;"")</formula>
    </cfRule>
  </conditionalFormatting>
  <conditionalFormatting sqref="A11:AF999999">
    <cfRule type="expression" dxfId="287" priority="2">
      <formula>AND(A11="", $A11&lt;&gt;"", A$10&lt;&gt;"")</formula>
    </cfRule>
  </conditionalFormatting>
  <conditionalFormatting sqref="W11:X27">
    <cfRule type="expression" dxfId="286" priority="1">
      <formula>AND($S11="",$O11&lt;&gt;"")</formula>
    </cfRule>
  </conditionalFormatting>
  <conditionalFormatting sqref="U11:X27">
    <cfRule type="expression" dxfId="285" priority="4">
      <formula>AND($O11="",$A11&lt;&gt;"")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E45A-5CD0-4E77-8917-A947E9EC4C07}">
  <dimension ref="A1:AA60"/>
  <sheetViews>
    <sheetView workbookViewId="0">
      <pane xSplit="2" topLeftCell="V1" activePane="topRight" state="frozen"/>
      <selection pane="topRight" activeCell="X12" sqref="X12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7" width="13.42578125" style="17" customWidth="1"/>
    <col min="8" max="8" width="14.28515625" style="17" customWidth="1"/>
    <col min="9" max="9" width="25.42578125" style="17" customWidth="1"/>
    <col min="10" max="10" width="25.7109375" style="17" customWidth="1"/>
    <col min="11" max="11" width="18.85546875" style="17" customWidth="1"/>
    <col min="12" max="12" width="27.28515625" style="17" customWidth="1"/>
    <col min="13" max="13" width="21.42578125" style="17" customWidth="1"/>
    <col min="14" max="14" width="12" style="17" customWidth="1"/>
    <col min="15" max="15" width="19.5703125" style="17" customWidth="1"/>
    <col min="16" max="16" width="19.5703125" style="17" hidden="1" customWidth="1"/>
    <col min="17" max="17" width="15.7109375" style="17" customWidth="1"/>
    <col min="18" max="18" width="12.28515625" style="17" customWidth="1"/>
    <col min="19" max="19" width="15.42578125" style="17" customWidth="1"/>
    <col min="20" max="20" width="16.28515625" style="17" customWidth="1"/>
    <col min="21" max="21" width="12.85546875" style="17" customWidth="1"/>
    <col min="22" max="22" width="17.42578125" style="17" customWidth="1"/>
    <col min="23" max="23" width="16.140625" style="17" customWidth="1"/>
    <col min="24" max="24" width="26.28515625" style="17" customWidth="1"/>
    <col min="25" max="25" width="20.7109375" style="17" customWidth="1"/>
    <col min="26" max="26" width="19.85546875" style="17" customWidth="1"/>
    <col min="27" max="27" width="162.7109375" style="17" customWidth="1"/>
    <col min="28" max="16384" width="9.140625" style="17"/>
  </cols>
  <sheetData>
    <row r="1" spans="1:27">
      <c r="I1" s="22"/>
      <c r="J1" s="22"/>
      <c r="R1" s="17" t="s">
        <v>332</v>
      </c>
      <c r="S1" s="17" t="s">
        <v>333</v>
      </c>
      <c r="U1" s="17" t="s">
        <v>334</v>
      </c>
      <c r="V1" s="3" t="s">
        <v>334</v>
      </c>
    </row>
    <row r="9" spans="1:27">
      <c r="E9" s="19" t="s">
        <v>335</v>
      </c>
      <c r="F9" s="17" t="s">
        <v>336</v>
      </c>
      <c r="I9" s="19" t="s">
        <v>337</v>
      </c>
      <c r="J9" s="19" t="s">
        <v>338</v>
      </c>
      <c r="K9" s="17" t="s">
        <v>336</v>
      </c>
      <c r="T9" s="19" t="s">
        <v>339</v>
      </c>
      <c r="U9" s="17" t="s">
        <v>336</v>
      </c>
      <c r="W9" s="17" t="s">
        <v>336</v>
      </c>
    </row>
    <row r="10" spans="1:27">
      <c r="A10" t="s">
        <v>168</v>
      </c>
      <c r="B10" s="17" t="s">
        <v>340</v>
      </c>
      <c r="C10" s="17" t="s">
        <v>341</v>
      </c>
      <c r="D10" s="17" t="s">
        <v>342</v>
      </c>
      <c r="E10" s="17" t="s">
        <v>343</v>
      </c>
      <c r="F10" s="17" t="s">
        <v>344</v>
      </c>
      <c r="G10" s="17" t="s">
        <v>345</v>
      </c>
      <c r="H10" s="17" t="s">
        <v>346</v>
      </c>
      <c r="I10" s="17" t="s">
        <v>347</v>
      </c>
      <c r="J10" s="17" t="s">
        <v>348</v>
      </c>
      <c r="K10" s="17" t="s">
        <v>349</v>
      </c>
      <c r="L10" s="17" t="s">
        <v>350</v>
      </c>
      <c r="M10" s="17" t="s">
        <v>351</v>
      </c>
      <c r="N10" s="17" t="s">
        <v>200</v>
      </c>
      <c r="O10" s="17" t="s">
        <v>352</v>
      </c>
      <c r="P10" s="17" t="s">
        <v>546</v>
      </c>
      <c r="Q10" s="17" t="s">
        <v>353</v>
      </c>
      <c r="R10" s="17" t="s">
        <v>354</v>
      </c>
      <c r="S10" s="17" t="s">
        <v>355</v>
      </c>
      <c r="T10" s="17" t="s">
        <v>356</v>
      </c>
      <c r="U10" s="17" t="s">
        <v>362</v>
      </c>
      <c r="V10" s="17" t="s">
        <v>547</v>
      </c>
      <c r="W10" s="17" t="s">
        <v>548</v>
      </c>
      <c r="X10" s="17" t="s">
        <v>549</v>
      </c>
      <c r="Y10" s="17" t="s">
        <v>364</v>
      </c>
      <c r="Z10" s="17" t="s">
        <v>365</v>
      </c>
      <c r="AA10" s="17" t="s">
        <v>106</v>
      </c>
    </row>
    <row r="11" spans="1:27">
      <c r="A11" s="10" t="s">
        <v>153</v>
      </c>
      <c r="B11" s="19" t="s">
        <v>175</v>
      </c>
      <c r="C11" s="17" t="s">
        <v>366</v>
      </c>
      <c r="D11" s="20" t="s">
        <v>367</v>
      </c>
      <c r="E11" s="21" t="str">
        <f>IF(xxx_Jars40[[#This Row],[Jar Type]]="", "", TEXT(_xlfn.XLOOKUP(xxx_Jars40[[#This Row],[Jar Type]], Containers!A:A, Containers!C:C), "General"))</f>
        <v>1892.7</v>
      </c>
      <c r="F11" s="19" t="s">
        <v>179</v>
      </c>
      <c r="G11" s="19" t="s">
        <v>368</v>
      </c>
      <c r="H11" s="19" t="s">
        <v>369</v>
      </c>
      <c r="I11" s="19" t="str" cm="1">
        <f t="array" ref="I1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1" s="19" t="str" cm="1">
        <f t="array" ref="J1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1" s="17" t="s">
        <v>370</v>
      </c>
      <c r="L11" s="17" t="s">
        <v>14</v>
      </c>
      <c r="M11" s="17" t="s">
        <v>14</v>
      </c>
      <c r="N11" s="19" t="s">
        <v>236</v>
      </c>
      <c r="O11" s="17" t="s">
        <v>371</v>
      </c>
      <c r="P11" s="17">
        <f>IFERROR(VALUE(xxx_Jars40[[#This Row],[Fertilizer Added (g)]]), 0)</f>
        <v>1.48</v>
      </c>
      <c r="Q11" t="s">
        <v>155</v>
      </c>
      <c r="R11" s="17" t="s">
        <v>372</v>
      </c>
      <c r="S11" s="17" t="s">
        <v>373</v>
      </c>
      <c r="T1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1" s="1" t="s">
        <v>375</v>
      </c>
      <c r="V11" s="1" t="s">
        <v>376</v>
      </c>
      <c r="W11" s="17" t="s">
        <v>14</v>
      </c>
      <c r="X11" s="17">
        <f ca="1">IFERROR(SUM(_xlfn.SINGLE(xxx_Jars40[Fertilizer Added]), _xlfn.XLOOKUP(_xlfn.SINGLE(xxx_Jars40[Jar]), JarsPlusPlus_2[Jar], JarsPlusPlus_2[C:Total Fertilizer Added (g)])), _xlfn.SINGLE(xxx_Jars40[Fertilizer Added]))</f>
        <v>2.96</v>
      </c>
      <c r="Y11" s="17" t="s">
        <v>377</v>
      </c>
      <c r="Z11" s="17" t="s">
        <v>378</v>
      </c>
    </row>
    <row r="12" spans="1:27">
      <c r="A12" t="s">
        <v>157</v>
      </c>
      <c r="B12" s="19" t="s">
        <v>175</v>
      </c>
      <c r="C12" s="17" t="s">
        <v>379</v>
      </c>
      <c r="D12" s="20" t="s">
        <v>367</v>
      </c>
      <c r="E12" s="21" t="str">
        <f>IF(xxx_Jars40[[#This Row],[Jar Type]]="", "", TEXT(_xlfn.XLOOKUP(xxx_Jars40[[#This Row],[Jar Type]], Containers!A:A, Containers!C:C), "General"))</f>
        <v>1892.7</v>
      </c>
      <c r="F12" s="19" t="s">
        <v>179</v>
      </c>
      <c r="G12" s="19" t="s">
        <v>368</v>
      </c>
      <c r="H12" s="20" t="s">
        <v>369</v>
      </c>
      <c r="I12" s="20" t="str" cm="1">
        <f t="array" ref="I1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2" s="20" t="str" cm="1">
        <f t="array" ref="J1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2" s="17" t="s">
        <v>370</v>
      </c>
      <c r="L12" s="17" t="s">
        <v>14</v>
      </c>
      <c r="M12" s="17" t="s">
        <v>14</v>
      </c>
      <c r="N12" s="19" t="s">
        <v>236</v>
      </c>
      <c r="O12" s="17" t="s">
        <v>371</v>
      </c>
      <c r="P12" s="17">
        <f>IFERROR(VALUE(xxx_Jars40[[#This Row],[Fertilizer Added (g)]]), 0)</f>
        <v>1.48</v>
      </c>
      <c r="Q12" t="s">
        <v>155</v>
      </c>
      <c r="R12" s="17" t="s">
        <v>372</v>
      </c>
      <c r="S12" s="17" t="s">
        <v>380</v>
      </c>
      <c r="T1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2" s="1" t="s">
        <v>375</v>
      </c>
      <c r="V12" s="1" t="s">
        <v>381</v>
      </c>
      <c r="W12" s="17" t="s">
        <v>14</v>
      </c>
      <c r="X12" s="17">
        <f ca="1">IFERROR(SUM(_xlfn.SINGLE(xxx_Jars40[Fertilizer Added]), _xlfn.XLOOKUP(_xlfn.SINGLE(xxx_Jars40[Jar]), JarsPlusPlus_2[Jar], JarsPlusPlus_2[C:Total Fertilizer Added (g)])), _xlfn.SINGLE(xxx_Jars40[Fertilizer Added]))</f>
        <v>2.96</v>
      </c>
      <c r="Y12" s="17" t="s">
        <v>377</v>
      </c>
      <c r="Z12" s="20" t="s">
        <v>378</v>
      </c>
      <c r="AA12" s="20"/>
    </row>
    <row r="13" spans="1:27">
      <c r="A13" t="s">
        <v>161</v>
      </c>
      <c r="B13" s="19" t="s">
        <v>175</v>
      </c>
      <c r="C13" s="17" t="s">
        <v>382</v>
      </c>
      <c r="D13" s="20" t="s">
        <v>367</v>
      </c>
      <c r="E13" s="21" t="str">
        <f>IF(xxx_Jars40[[#This Row],[Jar Type]]="", "", TEXT(_xlfn.XLOOKUP(xxx_Jars40[[#This Row],[Jar Type]], Containers!A:A, Containers!C:C), "General"))</f>
        <v>1892.7</v>
      </c>
      <c r="F13" s="19" t="s">
        <v>179</v>
      </c>
      <c r="G13" s="19" t="s">
        <v>368</v>
      </c>
      <c r="H13" s="20" t="s">
        <v>369</v>
      </c>
      <c r="I13" s="20" t="str" cm="1">
        <f t="array" ref="I1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3" s="20" t="str" cm="1">
        <f t="array" ref="J1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3" s="17" t="s">
        <v>383</v>
      </c>
      <c r="L13" s="17" t="s">
        <v>14</v>
      </c>
      <c r="M13" s="17" t="s">
        <v>14</v>
      </c>
      <c r="N13" s="19" t="s">
        <v>236</v>
      </c>
      <c r="O13" s="17" t="s">
        <v>384</v>
      </c>
      <c r="P13" s="17">
        <f>IFERROR(VALUE(xxx_Jars40[[#This Row],[Fertilizer Added (g)]]), 0)</f>
        <v>1.1100000000000001</v>
      </c>
      <c r="Q13" t="s">
        <v>155</v>
      </c>
      <c r="R13" s="17" t="s">
        <v>385</v>
      </c>
      <c r="S13" s="17" t="s">
        <v>386</v>
      </c>
      <c r="T1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3" s="1" t="s">
        <v>387</v>
      </c>
      <c r="V13" s="1" t="s">
        <v>388</v>
      </c>
      <c r="W13" s="17" t="s">
        <v>14</v>
      </c>
      <c r="X13" s="17">
        <f ca="1">IFERROR(SUM(_xlfn.SINGLE(xxx_Jars40[Fertilizer Added]), _xlfn.XLOOKUP(_xlfn.SINGLE(xxx_Jars40[Jar]), JarsPlusPlus_2[Jar], JarsPlusPlus_2[C:Total Fertilizer Added (g)])), _xlfn.SINGLE(xxx_Jars40[Fertilizer Added]))</f>
        <v>2.2200000000000002</v>
      </c>
      <c r="Y13" s="17" t="s">
        <v>377</v>
      </c>
      <c r="Z13" s="17" t="s">
        <v>378</v>
      </c>
      <c r="AA13" s="20"/>
    </row>
    <row r="14" spans="1:27">
      <c r="A14" t="s">
        <v>389</v>
      </c>
      <c r="B14" s="19" t="s">
        <v>175</v>
      </c>
      <c r="C14" s="17" t="s">
        <v>390</v>
      </c>
      <c r="D14" s="20" t="s">
        <v>367</v>
      </c>
      <c r="E14" s="21" t="str">
        <f>IF(xxx_Jars40[[#This Row],[Jar Type]]="", "", TEXT(_xlfn.XLOOKUP(xxx_Jars40[[#This Row],[Jar Type]], Containers!A:A, Containers!C:C), "General"))</f>
        <v>1892.7</v>
      </c>
      <c r="F14" s="19" t="s">
        <v>179</v>
      </c>
      <c r="G14" s="19" t="s">
        <v>368</v>
      </c>
      <c r="H14" s="20" t="s">
        <v>369</v>
      </c>
      <c r="I14" s="20" t="str" cm="1">
        <f t="array" ref="I1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4" s="20" t="str" cm="1">
        <f t="array" ref="J1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4" s="17" t="s">
        <v>383</v>
      </c>
      <c r="L14" s="17" t="s">
        <v>14</v>
      </c>
      <c r="M14" s="17" t="s">
        <v>14</v>
      </c>
      <c r="N14" s="19" t="s">
        <v>236</v>
      </c>
      <c r="O14" s="17" t="s">
        <v>391</v>
      </c>
      <c r="P14" s="17">
        <f>IFERROR(VALUE(xxx_Jars40[[#This Row],[Fertilizer Added (g)]]), 0)</f>
        <v>1.44</v>
      </c>
      <c r="Q14" t="s">
        <v>155</v>
      </c>
      <c r="R14" s="17" t="s">
        <v>372</v>
      </c>
      <c r="S14" s="17" t="s">
        <v>392</v>
      </c>
      <c r="T1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4" s="1" t="s">
        <v>387</v>
      </c>
      <c r="V14" s="1" t="s">
        <v>178</v>
      </c>
      <c r="W14" s="17" t="s">
        <v>14</v>
      </c>
      <c r="X14" s="17">
        <f ca="1">IFERROR(SUM(_xlfn.SINGLE(xxx_Jars40[Fertilizer Added]), _xlfn.XLOOKUP(_xlfn.SINGLE(xxx_Jars40[Jar]), JarsPlusPlus_2[Jar], JarsPlusPlus_2[C:Total Fertilizer Added (g)])), _xlfn.SINGLE(xxx_Jars40[Fertilizer Added]))</f>
        <v>2.88</v>
      </c>
      <c r="Y14" s="17" t="s">
        <v>377</v>
      </c>
      <c r="Z14" s="17" t="s">
        <v>378</v>
      </c>
      <c r="AA14" s="20"/>
    </row>
    <row r="15" spans="1:27">
      <c r="A15" t="s">
        <v>326</v>
      </c>
      <c r="B15" s="19" t="s">
        <v>175</v>
      </c>
      <c r="C15" s="17" t="s">
        <v>393</v>
      </c>
      <c r="D15" s="20" t="s">
        <v>367</v>
      </c>
      <c r="E15" s="21" t="str">
        <f>IF(xxx_Jars40[[#This Row],[Jar Type]]="", "", TEXT(_xlfn.XLOOKUP(xxx_Jars40[[#This Row],[Jar Type]], Containers!A:A, Containers!C:C), "General"))</f>
        <v>1892.7</v>
      </c>
      <c r="F15" s="19" t="s">
        <v>179</v>
      </c>
      <c r="G15" s="19" t="s">
        <v>394</v>
      </c>
      <c r="H15" s="20" t="s">
        <v>369</v>
      </c>
      <c r="I15" s="20" t="str" cm="1">
        <f t="array" ref="I1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5" s="20" t="str" cm="1">
        <f t="array" ref="J1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5" s="17" t="s">
        <v>383</v>
      </c>
      <c r="L15" s="17" t="s">
        <v>14</v>
      </c>
      <c r="M15" s="17" t="s">
        <v>14</v>
      </c>
      <c r="N15" s="19" t="s">
        <v>236</v>
      </c>
      <c r="O15" s="17" t="s">
        <v>395</v>
      </c>
      <c r="P15" s="17">
        <f>IFERROR(VALUE(xxx_Jars40[[#This Row],[Fertilizer Added (g)]]), 0)</f>
        <v>1.39</v>
      </c>
      <c r="Q15" t="s">
        <v>155</v>
      </c>
      <c r="R15" s="17" t="s">
        <v>372</v>
      </c>
      <c r="S15" s="17" t="s">
        <v>396</v>
      </c>
      <c r="T15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5" s="1" t="s">
        <v>385</v>
      </c>
      <c r="V15" s="2" t="s">
        <v>397</v>
      </c>
      <c r="W15" s="17" t="s">
        <v>14</v>
      </c>
      <c r="X15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15" s="17" t="s">
        <v>377</v>
      </c>
      <c r="Z15" s="17" t="s">
        <v>378</v>
      </c>
    </row>
    <row r="16" spans="1:27">
      <c r="A16" t="s">
        <v>398</v>
      </c>
      <c r="B16" s="19" t="s">
        <v>175</v>
      </c>
      <c r="C16" s="17" t="s">
        <v>399</v>
      </c>
      <c r="D16" s="20" t="s">
        <v>367</v>
      </c>
      <c r="E16" s="21" t="str">
        <f>IF(xxx_Jars40[[#This Row],[Jar Type]]="", "", TEXT(_xlfn.XLOOKUP(xxx_Jars40[[#This Row],[Jar Type]], Containers!A:A, Containers!C:C), "General"))</f>
        <v>1892.7</v>
      </c>
      <c r="F16" s="19" t="s">
        <v>179</v>
      </c>
      <c r="G16" s="19" t="s">
        <v>400</v>
      </c>
      <c r="H16" s="20" t="s">
        <v>369</v>
      </c>
      <c r="I16" s="20" t="str" cm="1">
        <f t="array" ref="I1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6" s="20" t="str" cm="1">
        <f t="array" ref="J1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6" s="17" t="s">
        <v>370</v>
      </c>
      <c r="L16" s="17" t="s">
        <v>14</v>
      </c>
      <c r="M16" s="17" t="s">
        <v>14</v>
      </c>
      <c r="N16" s="19" t="s">
        <v>236</v>
      </c>
      <c r="O16" s="17" t="s">
        <v>401</v>
      </c>
      <c r="P16" s="17">
        <f>IFERROR(VALUE(xxx_Jars40[[#This Row],[Fertilizer Added (g)]]), 0)</f>
        <v>1.4</v>
      </c>
      <c r="Q16" t="s">
        <v>155</v>
      </c>
      <c r="R16" s="17" t="s">
        <v>385</v>
      </c>
      <c r="S16" s="17" t="s">
        <v>402</v>
      </c>
      <c r="T1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6" s="1" t="s">
        <v>375</v>
      </c>
      <c r="V16" s="2" t="s">
        <v>403</v>
      </c>
      <c r="W16" s="17" t="s">
        <v>14</v>
      </c>
      <c r="X16" s="17">
        <f ca="1">IFERROR(SUM(_xlfn.SINGLE(xxx_Jars40[Fertilizer Added]), _xlfn.XLOOKUP(_xlfn.SINGLE(xxx_Jars40[Jar]), JarsPlusPlus_2[Jar], JarsPlusPlus_2[C:Total Fertilizer Added (g)])), _xlfn.SINGLE(xxx_Jars40[Fertilizer Added]))</f>
        <v>2.8</v>
      </c>
      <c r="Y16" s="17" t="s">
        <v>377</v>
      </c>
      <c r="Z16" s="17" t="s">
        <v>378</v>
      </c>
      <c r="AA16" s="20"/>
    </row>
    <row r="17" spans="1:27">
      <c r="A17" t="s">
        <v>404</v>
      </c>
      <c r="B17" s="19" t="s">
        <v>175</v>
      </c>
      <c r="C17" s="17" t="s">
        <v>405</v>
      </c>
      <c r="D17" s="20" t="s">
        <v>367</v>
      </c>
      <c r="E17" s="21" t="str">
        <f>IF(xxx_Jars40[[#This Row],[Jar Type]]="", "", TEXT(_xlfn.XLOOKUP(xxx_Jars40[[#This Row],[Jar Type]], Containers!A:A, Containers!C:C), "General"))</f>
        <v>1892.7</v>
      </c>
      <c r="F17" s="19" t="s">
        <v>179</v>
      </c>
      <c r="G17" s="19" t="s">
        <v>400</v>
      </c>
      <c r="H17" s="20" t="s">
        <v>369</v>
      </c>
      <c r="I17" s="20" t="str" cm="1">
        <f t="array" ref="I1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7" s="20" t="str" cm="1">
        <f t="array" ref="J1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7" s="17" t="s">
        <v>370</v>
      </c>
      <c r="L17" s="17" t="s">
        <v>14</v>
      </c>
      <c r="M17" s="17" t="s">
        <v>14</v>
      </c>
      <c r="N17" s="19" t="s">
        <v>236</v>
      </c>
      <c r="O17" s="17" t="s">
        <v>406</v>
      </c>
      <c r="P17" s="17">
        <f>IFERROR(VALUE(xxx_Jars40[[#This Row],[Fertilizer Added (g)]]), 0)</f>
        <v>1.43</v>
      </c>
      <c r="Q17" t="s">
        <v>155</v>
      </c>
      <c r="R17" s="19" t="s">
        <v>372</v>
      </c>
      <c r="S17" s="17" t="s">
        <v>407</v>
      </c>
      <c r="T1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7" s="1" t="s">
        <v>375</v>
      </c>
      <c r="V17" s="2" t="s">
        <v>408</v>
      </c>
      <c r="W17" s="17" t="s">
        <v>14</v>
      </c>
      <c r="X17" s="17">
        <f ca="1">IFERROR(SUM(_xlfn.SINGLE(xxx_Jars40[Fertilizer Added]), _xlfn.XLOOKUP(_xlfn.SINGLE(xxx_Jars40[Jar]), JarsPlusPlus_2[Jar], JarsPlusPlus_2[C:Total Fertilizer Added (g)])), _xlfn.SINGLE(xxx_Jars40[Fertilizer Added]))</f>
        <v>2.86</v>
      </c>
      <c r="Y17" s="17" t="s">
        <v>377</v>
      </c>
      <c r="Z17" s="17" t="s">
        <v>378</v>
      </c>
      <c r="AA17" s="20"/>
    </row>
    <row r="18" spans="1:27">
      <c r="A18" t="s">
        <v>409</v>
      </c>
      <c r="B18" s="19" t="s">
        <v>175</v>
      </c>
      <c r="C18" s="17" t="s">
        <v>410</v>
      </c>
      <c r="D18" s="20" t="s">
        <v>367</v>
      </c>
      <c r="E18" s="21" t="str">
        <f>IF(xxx_Jars40[[#This Row],[Jar Type]]="", "", TEXT(_xlfn.XLOOKUP(xxx_Jars40[[#This Row],[Jar Type]], Containers!A:A, Containers!C:C), "General"))</f>
        <v>1892.7</v>
      </c>
      <c r="F18" s="19" t="s">
        <v>179</v>
      </c>
      <c r="G18" s="19" t="s">
        <v>400</v>
      </c>
      <c r="H18" s="20" t="s">
        <v>369</v>
      </c>
      <c r="I18" s="20" t="str" cm="1">
        <f t="array" ref="I1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8" s="20" t="str" cm="1">
        <f t="array" ref="J1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8" s="17" t="s">
        <v>370</v>
      </c>
      <c r="L18" s="17" t="s">
        <v>14</v>
      </c>
      <c r="M18" s="17" t="s">
        <v>14</v>
      </c>
      <c r="N18" s="19" t="s">
        <v>236</v>
      </c>
      <c r="O18" s="17" t="s">
        <v>411</v>
      </c>
      <c r="P18" s="17">
        <f>IFERROR(VALUE(xxx_Jars40[[#This Row],[Fertilizer Added (g)]]), 0)</f>
        <v>1.37</v>
      </c>
      <c r="Q18" t="s">
        <v>155</v>
      </c>
      <c r="R18" s="17" t="s">
        <v>372</v>
      </c>
      <c r="S18" s="17" t="s">
        <v>412</v>
      </c>
      <c r="T1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8" s="1" t="s">
        <v>375</v>
      </c>
      <c r="V18" s="2" t="s">
        <v>413</v>
      </c>
      <c r="W18" s="17" t="s">
        <v>14</v>
      </c>
      <c r="X18" s="17">
        <f ca="1">IFERROR(SUM(_xlfn.SINGLE(xxx_Jars40[Fertilizer Added]), _xlfn.XLOOKUP(_xlfn.SINGLE(xxx_Jars40[Jar]), JarsPlusPlus_2[Jar], JarsPlusPlus_2[C:Total Fertilizer Added (g)])), _xlfn.SINGLE(xxx_Jars40[Fertilizer Added]))</f>
        <v>2.74</v>
      </c>
      <c r="Y18" s="17" t="s">
        <v>377</v>
      </c>
      <c r="Z18" s="17" t="s">
        <v>378</v>
      </c>
      <c r="AA18" s="20"/>
    </row>
    <row r="19" spans="1:27">
      <c r="A19" t="s">
        <v>414</v>
      </c>
      <c r="B19" s="19" t="s">
        <v>175</v>
      </c>
      <c r="C19" s="17" t="s">
        <v>415</v>
      </c>
      <c r="D19" s="20" t="s">
        <v>367</v>
      </c>
      <c r="E19" s="21" t="str">
        <f>IF(xxx_Jars40[[#This Row],[Jar Type]]="", "", TEXT(_xlfn.XLOOKUP(xxx_Jars40[[#This Row],[Jar Type]], Containers!A:A, Containers!C:C), "General"))</f>
        <v>1892.7</v>
      </c>
      <c r="F19" s="19" t="s">
        <v>179</v>
      </c>
      <c r="G19" s="19" t="s">
        <v>400</v>
      </c>
      <c r="H19" s="20" t="s">
        <v>369</v>
      </c>
      <c r="I19" s="20" t="str" cm="1">
        <f t="array" ref="I1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19" s="20" t="str" cm="1">
        <f t="array" ref="J1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19" s="17" t="s">
        <v>370</v>
      </c>
      <c r="L19" s="17" t="s">
        <v>14</v>
      </c>
      <c r="M19" s="17" t="s">
        <v>14</v>
      </c>
      <c r="N19" s="19" t="s">
        <v>236</v>
      </c>
      <c r="O19" s="17" t="s">
        <v>416</v>
      </c>
      <c r="P19" s="17">
        <f>IFERROR(VALUE(xxx_Jars40[[#This Row],[Fertilizer Added (g)]]), 0)</f>
        <v>1.49</v>
      </c>
      <c r="Q19" t="s">
        <v>155</v>
      </c>
      <c r="R19" s="17" t="s">
        <v>375</v>
      </c>
      <c r="S19" s="17" t="s">
        <v>417</v>
      </c>
      <c r="T19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19" s="1" t="s">
        <v>418</v>
      </c>
      <c r="V19" s="2" t="s">
        <v>419</v>
      </c>
      <c r="W19" s="19" t="s">
        <v>153</v>
      </c>
      <c r="X19" s="19">
        <f ca="1">IFERROR(SUM(_xlfn.SINGLE(xxx_Jars40[Fertilizer Added]), _xlfn.XLOOKUP(_xlfn.SINGLE(xxx_Jars40[Jar]), JarsPlusPlus_2[Jar], JarsPlusPlus_2[C:Total Fertilizer Added (g)])), _xlfn.SINGLE(xxx_Jars40[Fertilizer Added]))</f>
        <v>2.98</v>
      </c>
      <c r="Y19" s="17" t="s">
        <v>377</v>
      </c>
      <c r="Z19" s="17" t="s">
        <v>378</v>
      </c>
      <c r="AA19" s="17" t="s">
        <v>420</v>
      </c>
    </row>
    <row r="20" spans="1:27">
      <c r="A20" t="s">
        <v>327</v>
      </c>
      <c r="B20" s="19" t="s">
        <v>175</v>
      </c>
      <c r="C20" s="17" t="s">
        <v>421</v>
      </c>
      <c r="D20" s="20" t="s">
        <v>367</v>
      </c>
      <c r="E20" s="21" t="str">
        <f>IF(xxx_Jars40[[#This Row],[Jar Type]]="", "", TEXT(_xlfn.XLOOKUP(xxx_Jars40[[#This Row],[Jar Type]], Containers!A:A, Containers!C:C), "General"))</f>
        <v>1892.7</v>
      </c>
      <c r="F20" s="19" t="s">
        <v>179</v>
      </c>
      <c r="G20" s="19" t="s">
        <v>422</v>
      </c>
      <c r="H20" s="20" t="s">
        <v>369</v>
      </c>
      <c r="I20" s="20" t="str" cm="1">
        <f t="array" ref="I2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0" s="20" t="str" cm="1">
        <f t="array" ref="J2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0" s="17" t="s">
        <v>383</v>
      </c>
      <c r="L20" s="17" t="s">
        <v>14</v>
      </c>
      <c r="M20" s="17" t="s">
        <v>14</v>
      </c>
      <c r="N20" s="19" t="s">
        <v>236</v>
      </c>
      <c r="O20" s="17" t="s">
        <v>395</v>
      </c>
      <c r="P20" s="17">
        <f>IFERROR(VALUE(xxx_Jars40[[#This Row],[Fertilizer Added (g)]]), 0)</f>
        <v>1.39</v>
      </c>
      <c r="Q20" t="s">
        <v>155</v>
      </c>
      <c r="R20" s="17" t="s">
        <v>387</v>
      </c>
      <c r="S20" s="17" t="s">
        <v>423</v>
      </c>
      <c r="T2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0" s="1" t="s">
        <v>14</v>
      </c>
      <c r="V20" s="3" t="s">
        <v>14</v>
      </c>
      <c r="W20" s="17" t="s">
        <v>14</v>
      </c>
      <c r="X20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20" s="17" t="s">
        <v>377</v>
      </c>
      <c r="Z20" s="17" t="s">
        <v>378</v>
      </c>
    </row>
    <row r="21" spans="1:27">
      <c r="A21" t="s">
        <v>424</v>
      </c>
      <c r="B21" s="19" t="s">
        <v>175</v>
      </c>
      <c r="C21" s="17" t="s">
        <v>425</v>
      </c>
      <c r="D21" s="20" t="s">
        <v>367</v>
      </c>
      <c r="E21" s="21" t="str">
        <f>IF(xxx_Jars40[[#This Row],[Jar Type]]="", "", TEXT(_xlfn.XLOOKUP(xxx_Jars40[[#This Row],[Jar Type]], Containers!A:A, Containers!C:C), "General"))</f>
        <v>1892.7</v>
      </c>
      <c r="F21" s="19" t="s">
        <v>179</v>
      </c>
      <c r="G21" s="19" t="s">
        <v>422</v>
      </c>
      <c r="H21" s="20" t="s">
        <v>369</v>
      </c>
      <c r="I21" s="20" t="str" cm="1">
        <f t="array" ref="I2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1" s="20" t="str" cm="1">
        <f t="array" ref="J2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1" s="17" t="s">
        <v>383</v>
      </c>
      <c r="L21" s="17" t="s">
        <v>14</v>
      </c>
      <c r="M21" s="17" t="s">
        <v>14</v>
      </c>
      <c r="N21" s="19" t="s">
        <v>236</v>
      </c>
      <c r="O21" s="17" t="s">
        <v>395</v>
      </c>
      <c r="P21" s="17">
        <f>IFERROR(VALUE(xxx_Jars40[[#This Row],[Fertilizer Added (g)]]), 0)</f>
        <v>1.39</v>
      </c>
      <c r="Q21" t="s">
        <v>155</v>
      </c>
      <c r="R21" s="17" t="s">
        <v>375</v>
      </c>
      <c r="S21" s="17" t="s">
        <v>426</v>
      </c>
      <c r="T2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1" s="1" t="s">
        <v>375</v>
      </c>
      <c r="V21" s="2" t="s">
        <v>427</v>
      </c>
      <c r="W21" s="17" t="s">
        <v>14</v>
      </c>
      <c r="X21" s="17">
        <f ca="1">IFERROR(SUM(_xlfn.SINGLE(xxx_Jars40[Fertilizer Added]), _xlfn.XLOOKUP(_xlfn.SINGLE(xxx_Jars40[Jar]), JarsPlusPlus_2[Jar], JarsPlusPlus_2[C:Total Fertilizer Added (g)])), _xlfn.SINGLE(xxx_Jars40[Fertilizer Added]))</f>
        <v>2.78</v>
      </c>
      <c r="Y21" s="17" t="s">
        <v>377</v>
      </c>
      <c r="Z21" s="17" t="s">
        <v>378</v>
      </c>
      <c r="AA21" s="20"/>
    </row>
    <row r="22" spans="1:27">
      <c r="A22" t="s">
        <v>428</v>
      </c>
      <c r="B22" s="19" t="s">
        <v>175</v>
      </c>
      <c r="C22" s="17" t="s">
        <v>429</v>
      </c>
      <c r="D22" s="20" t="s">
        <v>367</v>
      </c>
      <c r="E22" s="21" t="str">
        <f>IF(xxx_Jars40[[#This Row],[Jar Type]]="", "", TEXT(_xlfn.XLOOKUP(xxx_Jars40[[#This Row],[Jar Type]], Containers!A:A, Containers!C:C), "General"))</f>
        <v>1892.7</v>
      </c>
      <c r="F22" s="19" t="s">
        <v>179</v>
      </c>
      <c r="G22" s="19" t="s">
        <v>422</v>
      </c>
      <c r="H22" s="20" t="s">
        <v>369</v>
      </c>
      <c r="I22" s="20" t="str" cm="1">
        <f t="array" ref="I2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2" s="20" t="str" cm="1">
        <f t="array" ref="J2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2" s="17" t="s">
        <v>383</v>
      </c>
      <c r="L22" s="17" t="s">
        <v>14</v>
      </c>
      <c r="M22" s="17" t="s">
        <v>14</v>
      </c>
      <c r="N22" s="19" t="s">
        <v>236</v>
      </c>
      <c r="O22" s="17" t="s">
        <v>430</v>
      </c>
      <c r="P22" s="17">
        <f>IFERROR(VALUE(xxx_Jars40[[#This Row],[Fertilizer Added (g)]]), 0)</f>
        <v>1.41</v>
      </c>
      <c r="Q22" t="s">
        <v>155</v>
      </c>
      <c r="R22" s="17" t="s">
        <v>387</v>
      </c>
      <c r="S22" s="17" t="s">
        <v>431</v>
      </c>
      <c r="T2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2" s="3" t="s">
        <v>14</v>
      </c>
      <c r="V22" s="3" t="s">
        <v>14</v>
      </c>
      <c r="W22" s="17" t="s">
        <v>14</v>
      </c>
      <c r="X22" s="17">
        <f ca="1">IFERROR(SUM(_xlfn.SINGLE(xxx_Jars40[Fertilizer Added]), _xlfn.XLOOKUP(_xlfn.SINGLE(xxx_Jars40[Jar]), JarsPlusPlus_2[Jar], JarsPlusPlus_2[C:Total Fertilizer Added (g)])), _xlfn.SINGLE(xxx_Jars40[Fertilizer Added]))</f>
        <v>2.82</v>
      </c>
      <c r="Y22" s="17" t="s">
        <v>377</v>
      </c>
      <c r="Z22" s="17" t="s">
        <v>378</v>
      </c>
    </row>
    <row r="23" spans="1:27">
      <c r="A23" t="s">
        <v>432</v>
      </c>
      <c r="B23" s="19" t="s">
        <v>175</v>
      </c>
      <c r="C23" s="17" t="s">
        <v>433</v>
      </c>
      <c r="D23" s="20" t="s">
        <v>367</v>
      </c>
      <c r="E23" s="21" t="str">
        <f>IF(xxx_Jars40[[#This Row],[Jar Type]]="", "", TEXT(_xlfn.XLOOKUP(xxx_Jars40[[#This Row],[Jar Type]], Containers!A:A, Containers!C:C), "General"))</f>
        <v>1892.7</v>
      </c>
      <c r="F23" s="19" t="s">
        <v>179</v>
      </c>
      <c r="G23" s="19" t="s">
        <v>422</v>
      </c>
      <c r="H23" s="20" t="s">
        <v>369</v>
      </c>
      <c r="I23" s="20" t="str" cm="1">
        <f t="array" ref="I2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3" s="20" t="str" cm="1">
        <f t="array" ref="J2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3" s="17" t="s">
        <v>383</v>
      </c>
      <c r="L23" s="17" t="s">
        <v>14</v>
      </c>
      <c r="M23" s="17" t="s">
        <v>14</v>
      </c>
      <c r="N23" s="19" t="s">
        <v>236</v>
      </c>
      <c r="O23" s="17" t="s">
        <v>434</v>
      </c>
      <c r="P23" s="17">
        <f>IFERROR(VALUE(xxx_Jars40[[#This Row],[Fertilizer Added (g)]]), 0)</f>
        <v>1.8</v>
      </c>
      <c r="Q23" t="s">
        <v>155</v>
      </c>
      <c r="R23" s="17" t="s">
        <v>387</v>
      </c>
      <c r="S23" s="17" t="s">
        <v>435</v>
      </c>
      <c r="T2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3" s="1" t="s">
        <v>375</v>
      </c>
      <c r="V23" s="2" t="s">
        <v>436</v>
      </c>
      <c r="W23" s="17" t="s">
        <v>14</v>
      </c>
      <c r="X23" s="17">
        <f ca="1">IFERROR(SUM(_xlfn.SINGLE(xxx_Jars40[Fertilizer Added]), _xlfn.XLOOKUP(_xlfn.SINGLE(xxx_Jars40[Jar]), JarsPlusPlus_2[Jar], JarsPlusPlus_2[C:Total Fertilizer Added (g)])), _xlfn.SINGLE(xxx_Jars40[Fertilizer Added]))</f>
        <v>3.6</v>
      </c>
      <c r="Y23" s="17" t="s">
        <v>377</v>
      </c>
      <c r="Z23" s="17" t="s">
        <v>378</v>
      </c>
      <c r="AA23" s="20"/>
    </row>
    <row r="24" spans="1:27">
      <c r="A24" t="s">
        <v>437</v>
      </c>
      <c r="B24" s="19" t="s">
        <v>175</v>
      </c>
      <c r="C24" s="17" t="s">
        <v>438</v>
      </c>
      <c r="D24" s="20" t="s">
        <v>367</v>
      </c>
      <c r="E24" s="21" t="str">
        <f>IF(xxx_Jars40[[#This Row],[Jar Type]]="", "", TEXT(_xlfn.XLOOKUP(xxx_Jars40[[#This Row],[Jar Type]], Containers!A:A, Containers!C:C), "General"))</f>
        <v>1892.7</v>
      </c>
      <c r="F24" s="19" t="s">
        <v>179</v>
      </c>
      <c r="G24" s="19" t="s">
        <v>439</v>
      </c>
      <c r="H24" s="20" t="s">
        <v>369</v>
      </c>
      <c r="I24" s="20" t="str" cm="1">
        <f t="array" ref="I2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4" s="20" t="str" cm="1">
        <f t="array" ref="J2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4" s="17" t="s">
        <v>383</v>
      </c>
      <c r="L24" s="17" t="s">
        <v>14</v>
      </c>
      <c r="M24" s="17" t="s">
        <v>14</v>
      </c>
      <c r="N24" s="19" t="s">
        <v>236</v>
      </c>
      <c r="O24" s="17" t="s">
        <v>401</v>
      </c>
      <c r="P24" s="17">
        <f>IFERROR(VALUE(xxx_Jars40[[#This Row],[Fertilizer Added (g)]]), 0)</f>
        <v>1.4</v>
      </c>
      <c r="Q24" t="s">
        <v>155</v>
      </c>
      <c r="R24" s="17" t="s">
        <v>387</v>
      </c>
      <c r="S24" s="17" t="s">
        <v>440</v>
      </c>
      <c r="T2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4" s="1" t="s">
        <v>418</v>
      </c>
      <c r="V24" s="2" t="s">
        <v>441</v>
      </c>
      <c r="W24" s="17" t="s">
        <v>14</v>
      </c>
      <c r="X24" s="17">
        <f ca="1">IFERROR(SUM(_xlfn.SINGLE(xxx_Jars40[Fertilizer Added]), _xlfn.XLOOKUP(_xlfn.SINGLE(xxx_Jars40[Jar]), JarsPlusPlus_2[Jar], JarsPlusPlus_2[C:Total Fertilizer Added (g)])), _xlfn.SINGLE(xxx_Jars40[Fertilizer Added]))</f>
        <v>2.8</v>
      </c>
      <c r="Y24" s="17" t="s">
        <v>377</v>
      </c>
      <c r="Z24" s="17" t="s">
        <v>378</v>
      </c>
      <c r="AA24" s="20"/>
    </row>
    <row r="25" spans="1:27">
      <c r="A25" t="s">
        <v>442</v>
      </c>
      <c r="B25" s="19" t="s">
        <v>175</v>
      </c>
      <c r="C25" s="17" t="s">
        <v>443</v>
      </c>
      <c r="D25" s="20" t="s">
        <v>367</v>
      </c>
      <c r="E25" s="21" t="str">
        <f>IF(xxx_Jars40[[#This Row],[Jar Type]]="", "", TEXT(_xlfn.XLOOKUP(xxx_Jars40[[#This Row],[Jar Type]], Containers!A:A, Containers!C:C), "General"))</f>
        <v>1892.7</v>
      </c>
      <c r="F25" s="19" t="s">
        <v>179</v>
      </c>
      <c r="G25" s="19" t="s">
        <v>439</v>
      </c>
      <c r="H25" s="20" t="s">
        <v>369</v>
      </c>
      <c r="I25" s="20" t="str" cm="1">
        <f t="array" ref="I2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5" s="20" t="str" cm="1">
        <f t="array" ref="J2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5" s="17" t="s">
        <v>383</v>
      </c>
      <c r="L25" s="17" t="s">
        <v>14</v>
      </c>
      <c r="M25" s="17" t="s">
        <v>14</v>
      </c>
      <c r="N25" s="19" t="s">
        <v>236</v>
      </c>
      <c r="O25" s="17" t="s">
        <v>391</v>
      </c>
      <c r="P25" s="17">
        <f>IFERROR(VALUE(xxx_Jars40[[#This Row],[Fertilizer Added (g)]]), 0)</f>
        <v>1.44</v>
      </c>
      <c r="Q25" t="s">
        <v>155</v>
      </c>
      <c r="R25" s="17" t="s">
        <v>372</v>
      </c>
      <c r="S25" s="20" t="s">
        <v>440</v>
      </c>
      <c r="T25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5" s="1" t="s">
        <v>444</v>
      </c>
      <c r="V25" s="2" t="s">
        <v>445</v>
      </c>
      <c r="W25" s="19" t="s">
        <v>153</v>
      </c>
      <c r="X25" s="19">
        <f ca="1">IFERROR(SUM(_xlfn.SINGLE(xxx_Jars40[Fertilizer Added]), _xlfn.XLOOKUP(_xlfn.SINGLE(xxx_Jars40[Jar]), JarsPlusPlus_2[Jar], JarsPlusPlus_2[C:Total Fertilizer Added (g)])), _xlfn.SINGLE(xxx_Jars40[Fertilizer Added]))</f>
        <v>2.88</v>
      </c>
      <c r="Y25" s="17" t="s">
        <v>377</v>
      </c>
      <c r="Z25" s="17" t="s">
        <v>378</v>
      </c>
      <c r="AA25" s="17" t="s">
        <v>420</v>
      </c>
    </row>
    <row r="26" spans="1:27">
      <c r="A26" t="s">
        <v>446</v>
      </c>
      <c r="B26" s="19" t="s">
        <v>175</v>
      </c>
      <c r="C26" s="17" t="s">
        <v>447</v>
      </c>
      <c r="D26" s="20" t="s">
        <v>367</v>
      </c>
      <c r="E26" s="21" t="str">
        <f>IF(xxx_Jars40[[#This Row],[Jar Type]]="", "", TEXT(_xlfn.XLOOKUP(xxx_Jars40[[#This Row],[Jar Type]], Containers!A:A, Containers!C:C), "General"))</f>
        <v>1892.7</v>
      </c>
      <c r="F26" s="19" t="s">
        <v>179</v>
      </c>
      <c r="G26" s="19" t="s">
        <v>439</v>
      </c>
      <c r="H26" s="20" t="s">
        <v>369</v>
      </c>
      <c r="I26" s="20" t="str" cm="1">
        <f t="array" ref="I2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6" s="20" t="str" cm="1">
        <f t="array" ref="J2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6" s="17" t="s">
        <v>383</v>
      </c>
      <c r="L26" s="17" t="s">
        <v>14</v>
      </c>
      <c r="M26" s="17" t="s">
        <v>14</v>
      </c>
      <c r="N26" s="19" t="s">
        <v>236</v>
      </c>
      <c r="O26" s="17" t="s">
        <v>448</v>
      </c>
      <c r="P26" s="17">
        <f>IFERROR(VALUE(xxx_Jars40[[#This Row],[Fertilizer Added (g)]]), 0)</f>
        <v>1.55</v>
      </c>
      <c r="Q26" t="s">
        <v>155</v>
      </c>
      <c r="R26" s="17" t="s">
        <v>387</v>
      </c>
      <c r="S26" s="20" t="s">
        <v>440</v>
      </c>
      <c r="T26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6" s="1" t="s">
        <v>387</v>
      </c>
      <c r="V26" s="2" t="s">
        <v>449</v>
      </c>
      <c r="W26" s="19" t="s">
        <v>153</v>
      </c>
      <c r="X26" s="19">
        <f ca="1">IFERROR(SUM(_xlfn.SINGLE(xxx_Jars40[Fertilizer Added]), _xlfn.XLOOKUP(_xlfn.SINGLE(xxx_Jars40[Jar]), JarsPlusPlus_2[Jar], JarsPlusPlus_2[C:Total Fertilizer Added (g)])), _xlfn.SINGLE(xxx_Jars40[Fertilizer Added]))</f>
        <v>3.1</v>
      </c>
      <c r="Y26" s="17" t="s">
        <v>377</v>
      </c>
      <c r="Z26" s="17" t="s">
        <v>378</v>
      </c>
      <c r="AA26" s="17" t="s">
        <v>420</v>
      </c>
    </row>
    <row r="27" spans="1:27">
      <c r="A27" t="s">
        <v>450</v>
      </c>
      <c r="B27" s="19" t="s">
        <v>175</v>
      </c>
      <c r="C27" s="17" t="s">
        <v>451</v>
      </c>
      <c r="D27" s="20" t="s">
        <v>367</v>
      </c>
      <c r="E27" s="21" t="str">
        <f>IF(xxx_Jars40[[#This Row],[Jar Type]]="", "", TEXT(_xlfn.XLOOKUP(xxx_Jars40[[#This Row],[Jar Type]], Containers!A:A, Containers!C:C), "General"))</f>
        <v>1892.7</v>
      </c>
      <c r="F27" s="19" t="s">
        <v>179</v>
      </c>
      <c r="G27" s="19" t="s">
        <v>439</v>
      </c>
      <c r="H27" s="20" t="s">
        <v>369</v>
      </c>
      <c r="I27" s="20" t="str" cm="1">
        <f t="array" ref="I2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7" s="20" t="str" cm="1">
        <f t="array" ref="J2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7" s="17" t="s">
        <v>383</v>
      </c>
      <c r="L27" s="17" t="s">
        <v>14</v>
      </c>
      <c r="M27" s="17" t="s">
        <v>14</v>
      </c>
      <c r="N27" s="19" t="s">
        <v>236</v>
      </c>
      <c r="O27" s="17" t="s">
        <v>452</v>
      </c>
      <c r="P27" s="17">
        <f>IFERROR(VALUE(xxx_Jars40[[#This Row],[Fertilizer Added (g)]]), 0)</f>
        <v>1.57</v>
      </c>
      <c r="Q27" t="s">
        <v>155</v>
      </c>
      <c r="R27" s="17" t="s">
        <v>453</v>
      </c>
      <c r="S27" s="20" t="s">
        <v>440</v>
      </c>
      <c r="T27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U27" s="1" t="s">
        <v>387</v>
      </c>
      <c r="V27" s="2" t="s">
        <v>454</v>
      </c>
      <c r="W27" s="19" t="s">
        <v>153</v>
      </c>
      <c r="X27" s="19">
        <f ca="1">IFERROR(SUM(_xlfn.SINGLE(xxx_Jars40[Fertilizer Added]), _xlfn.XLOOKUP(_xlfn.SINGLE(xxx_Jars40[Jar]), JarsPlusPlus_2[Jar], JarsPlusPlus_2[C:Total Fertilizer Added (g)])), _xlfn.SINGLE(xxx_Jars40[Fertilizer Added]))</f>
        <v>3.14</v>
      </c>
      <c r="Y27" s="17" t="s">
        <v>377</v>
      </c>
      <c r="Z27" s="17" t="s">
        <v>378</v>
      </c>
      <c r="AA27" s="17" t="s">
        <v>455</v>
      </c>
    </row>
    <row r="28" spans="1:27">
      <c r="A28" t="s">
        <v>456</v>
      </c>
      <c r="B28" s="19" t="s">
        <v>175</v>
      </c>
      <c r="C28" s="17" t="s">
        <v>457</v>
      </c>
      <c r="D28" s="20" t="s">
        <v>458</v>
      </c>
      <c r="E28" s="21" t="str">
        <f>IF(xxx_Jars40[[#This Row],[Jar Type]]="", "", TEXT(_xlfn.XLOOKUP(xxx_Jars40[[#This Row],[Jar Type]], Containers!A:A, Containers!C:C), "General"))</f>
        <v>1892.7</v>
      </c>
      <c r="F28" s="19" t="s">
        <v>153</v>
      </c>
      <c r="G28" s="19" t="s">
        <v>459</v>
      </c>
      <c r="H28" s="20" t="s">
        <v>460</v>
      </c>
      <c r="I28" s="20" t="str" cm="1">
        <f t="array" ref="I2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8" s="20" t="str" cm="1">
        <f t="array" ref="J2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8" s="17" t="s">
        <v>383</v>
      </c>
      <c r="L28" s="17" t="s">
        <v>14</v>
      </c>
      <c r="M28" s="17" t="s">
        <v>14</v>
      </c>
      <c r="N28" s="19" t="s">
        <v>236</v>
      </c>
      <c r="O28" s="19" t="s">
        <v>461</v>
      </c>
      <c r="P28" s="19">
        <f>IFERROR(VALUE(xxx_Jars40[[#This Row],[Fertilizer Added (g)]]), 0)</f>
        <v>1.77</v>
      </c>
      <c r="Q28" t="s">
        <v>155</v>
      </c>
      <c r="R28" s="19" t="s">
        <v>453</v>
      </c>
      <c r="S28" s="19" t="s">
        <v>462</v>
      </c>
      <c r="T28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28" s="19"/>
      <c r="V28" s="19"/>
      <c r="W28" s="17" t="s">
        <v>14</v>
      </c>
      <c r="X28" s="17">
        <f ca="1">IFERROR(SUM(_xlfn.SINGLE(xxx_Jars40[Fertilizer Added]), _xlfn.XLOOKUP(_xlfn.SINGLE(xxx_Jars40[Jar]), JarsPlusPlus_2[Jar], JarsPlusPlus_2[C:Total Fertilizer Added (g)])), _xlfn.SINGLE(xxx_Jars40[Fertilizer Added]))</f>
        <v>3.54</v>
      </c>
      <c r="Y28" s="17" t="s">
        <v>377</v>
      </c>
      <c r="Z28" s="17" t="s">
        <v>378</v>
      </c>
    </row>
    <row r="29" spans="1:27">
      <c r="A29" t="s">
        <v>463</v>
      </c>
      <c r="B29" s="19" t="s">
        <v>175</v>
      </c>
      <c r="C29" s="17" t="s">
        <v>464</v>
      </c>
      <c r="D29" s="20" t="s">
        <v>458</v>
      </c>
      <c r="E29" s="21" t="str">
        <f>IF(xxx_Jars40[[#This Row],[Jar Type]]="", "", TEXT(_xlfn.XLOOKUP(xxx_Jars40[[#This Row],[Jar Type]], Containers!A:A, Containers!C:C), "General"))</f>
        <v>1892.7</v>
      </c>
      <c r="F29" s="19" t="s">
        <v>153</v>
      </c>
      <c r="G29" s="21" t="s">
        <v>459</v>
      </c>
      <c r="H29" s="20" t="s">
        <v>460</v>
      </c>
      <c r="I29" s="20" t="str" cm="1">
        <f t="array" ref="I2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29" s="20" t="str" cm="1">
        <f t="array" ref="J2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29" s="17" t="s">
        <v>465</v>
      </c>
      <c r="L29" s="17" t="s">
        <v>14</v>
      </c>
      <c r="M29" s="17" t="s">
        <v>14</v>
      </c>
      <c r="N29" s="19" t="s">
        <v>236</v>
      </c>
      <c r="O29" s="19" t="s">
        <v>466</v>
      </c>
      <c r="P29" s="19">
        <f>IFERROR(VALUE(xxx_Jars40[[#This Row],[Fertilizer Added (g)]]), 0)</f>
        <v>1.72</v>
      </c>
      <c r="Q29" t="s">
        <v>155</v>
      </c>
      <c r="R29" s="21" t="s">
        <v>453</v>
      </c>
      <c r="S29" s="19" t="s">
        <v>467</v>
      </c>
      <c r="T29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29" s="19"/>
      <c r="V29" s="19"/>
      <c r="W29" s="17" t="s">
        <v>14</v>
      </c>
      <c r="X29" s="17">
        <f ca="1">IFERROR(SUM(_xlfn.SINGLE(xxx_Jars40[Fertilizer Added]), _xlfn.XLOOKUP(_xlfn.SINGLE(xxx_Jars40[Jar]), JarsPlusPlus_2[Jar], JarsPlusPlus_2[C:Total Fertilizer Added (g)])), _xlfn.SINGLE(xxx_Jars40[Fertilizer Added]))</f>
        <v>4.49</v>
      </c>
      <c r="Y29" s="17" t="s">
        <v>377</v>
      </c>
      <c r="Z29" s="17" t="s">
        <v>378</v>
      </c>
    </row>
    <row r="30" spans="1:27">
      <c r="A30" t="s">
        <v>468</v>
      </c>
      <c r="B30" s="19" t="s">
        <v>175</v>
      </c>
      <c r="C30" s="17" t="s">
        <v>468</v>
      </c>
      <c r="D30" s="20" t="s">
        <v>458</v>
      </c>
      <c r="E30" s="21" t="str">
        <f>IF(xxx_Jars40[[#This Row],[Jar Type]]="", "", TEXT(_xlfn.XLOOKUP(xxx_Jars40[[#This Row],[Jar Type]], Containers!A:A, Containers!C:C), "General"))</f>
        <v>1892.7</v>
      </c>
      <c r="F30" s="19" t="s">
        <v>153</v>
      </c>
      <c r="G30" s="21" t="s">
        <v>459</v>
      </c>
      <c r="H30" s="20" t="s">
        <v>460</v>
      </c>
      <c r="I30" s="20" t="str" cm="1">
        <f t="array" ref="I3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0" s="20" t="str" cm="1">
        <f t="array" ref="J3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0" s="17" t="s">
        <v>469</v>
      </c>
      <c r="L30" s="17" t="s">
        <v>14</v>
      </c>
      <c r="M30" s="17" t="s">
        <v>14</v>
      </c>
      <c r="N30" s="19" t="s">
        <v>236</v>
      </c>
      <c r="O30" s="19" t="s">
        <v>470</v>
      </c>
      <c r="P30" s="19">
        <f>IFERROR(VALUE(xxx_Jars40[[#This Row],[Fertilizer Added (g)]]), 0)</f>
        <v>1.67</v>
      </c>
      <c r="Q30" t="s">
        <v>155</v>
      </c>
      <c r="R30" s="21" t="s">
        <v>453</v>
      </c>
      <c r="S30" s="19" t="s">
        <v>471</v>
      </c>
      <c r="T30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0" s="19"/>
      <c r="V30" s="19"/>
      <c r="W30" s="17" t="s">
        <v>14</v>
      </c>
      <c r="X30" s="17">
        <f ca="1">IFERROR(SUM(_xlfn.SINGLE(xxx_Jars40[Fertilizer Added]), _xlfn.XLOOKUP(_xlfn.SINGLE(xxx_Jars40[Jar]), JarsPlusPlus_2[Jar], JarsPlusPlus_2[C:Total Fertilizer Added (g)])), _xlfn.SINGLE(xxx_Jars40[Fertilizer Added]))</f>
        <v>3.34</v>
      </c>
      <c r="Y30" s="17" t="s">
        <v>377</v>
      </c>
      <c r="Z30" s="17" t="s">
        <v>378</v>
      </c>
    </row>
    <row r="31" spans="1:27">
      <c r="A31" t="s">
        <v>472</v>
      </c>
      <c r="B31" s="19" t="s">
        <v>175</v>
      </c>
      <c r="C31" s="17" t="s">
        <v>464</v>
      </c>
      <c r="D31" s="20" t="s">
        <v>458</v>
      </c>
      <c r="E31" s="21" t="str">
        <f>IF(xxx_Jars40[[#This Row],[Jar Type]]="", "", TEXT(_xlfn.XLOOKUP(xxx_Jars40[[#This Row],[Jar Type]], Containers!A:A, Containers!C:C), "General"))</f>
        <v>1892.7</v>
      </c>
      <c r="F31" s="19" t="s">
        <v>153</v>
      </c>
      <c r="G31" s="21" t="s">
        <v>459</v>
      </c>
      <c r="H31" s="20" t="s">
        <v>460</v>
      </c>
      <c r="I31" s="20" t="str" cm="1">
        <f t="array" ref="I3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1" s="20" t="str" cm="1">
        <f t="array" ref="J3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1" s="17" t="s">
        <v>473</v>
      </c>
      <c r="L31" s="17" t="s">
        <v>14</v>
      </c>
      <c r="M31" s="17" t="s">
        <v>14</v>
      </c>
      <c r="N31" s="19" t="s">
        <v>236</v>
      </c>
      <c r="O31" s="19" t="s">
        <v>474</v>
      </c>
      <c r="P31" s="19">
        <f>IFERROR(VALUE(xxx_Jars40[[#This Row],[Fertilizer Added (g)]]), 0)</f>
        <v>1.64</v>
      </c>
      <c r="Q31" t="s">
        <v>155</v>
      </c>
      <c r="R31" s="21" t="s">
        <v>453</v>
      </c>
      <c r="S31" s="19" t="s">
        <v>475</v>
      </c>
      <c r="T31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1" s="19"/>
      <c r="V31" s="19"/>
      <c r="W31" s="17" t="s">
        <v>14</v>
      </c>
      <c r="X31" s="17">
        <f ca="1">IFERROR(SUM(_xlfn.SINGLE(xxx_Jars40[Fertilizer Added]), _xlfn.XLOOKUP(_xlfn.SINGLE(xxx_Jars40[Jar]), JarsPlusPlus_2[Jar], JarsPlusPlus_2[C:Total Fertilizer Added (g)])), _xlfn.SINGLE(xxx_Jars40[Fertilizer Added]))</f>
        <v>4.8</v>
      </c>
      <c r="Y31" s="17" t="s">
        <v>377</v>
      </c>
      <c r="Z31" s="17" t="s">
        <v>378</v>
      </c>
    </row>
    <row r="32" spans="1:27">
      <c r="A32" t="s">
        <v>476</v>
      </c>
      <c r="B32" s="19" t="s">
        <v>175</v>
      </c>
      <c r="C32" s="17" t="s">
        <v>464</v>
      </c>
      <c r="D32" s="20" t="s">
        <v>458</v>
      </c>
      <c r="E32" s="21" t="str">
        <f>IF(xxx_Jars40[[#This Row],[Jar Type]]="", "", TEXT(_xlfn.XLOOKUP(xxx_Jars40[[#This Row],[Jar Type]], Containers!A:A, Containers!C:C), "General"))</f>
        <v>1892.7</v>
      </c>
      <c r="F32" s="19" t="s">
        <v>153</v>
      </c>
      <c r="G32" s="19" t="s">
        <v>477</v>
      </c>
      <c r="H32" s="20" t="s">
        <v>460</v>
      </c>
      <c r="I32" s="20" t="str" cm="1">
        <f t="array" ref="I3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2" s="20" t="str" cm="1">
        <f t="array" ref="J3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2" s="19" t="s">
        <v>370</v>
      </c>
      <c r="L32" s="17" t="s">
        <v>14</v>
      </c>
      <c r="M32" s="17" t="s">
        <v>14</v>
      </c>
      <c r="N32" s="19" t="s">
        <v>236</v>
      </c>
      <c r="O32" s="19" t="s">
        <v>478</v>
      </c>
      <c r="P32" s="19">
        <f>IFERROR(VALUE(xxx_Jars40[[#This Row],[Fertilizer Added (g)]]), 0)</f>
        <v>1.83</v>
      </c>
      <c r="Q32" t="s">
        <v>155</v>
      </c>
      <c r="R32" s="17" t="s">
        <v>387</v>
      </c>
      <c r="S32" s="19" t="s">
        <v>479</v>
      </c>
      <c r="T32" s="19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2" s="19"/>
      <c r="V32" s="19"/>
      <c r="W32" s="17" t="s">
        <v>14</v>
      </c>
      <c r="X32" s="17">
        <f ca="1">IFERROR(SUM(_xlfn.SINGLE(xxx_Jars40[Fertilizer Added]), _xlfn.XLOOKUP(_xlfn.SINGLE(xxx_Jars40[Jar]), JarsPlusPlus_2[Jar], JarsPlusPlus_2[C:Total Fertilizer Added (g)])), _xlfn.SINGLE(xxx_Jars40[Fertilizer Added]))</f>
        <v>3.66</v>
      </c>
      <c r="Y32" s="17" t="s">
        <v>377</v>
      </c>
      <c r="Z32" s="17" t="s">
        <v>378</v>
      </c>
    </row>
    <row r="33" spans="1:27">
      <c r="A33" t="s">
        <v>480</v>
      </c>
      <c r="B33" s="19" t="s">
        <v>177</v>
      </c>
      <c r="C33" s="19" t="s">
        <v>238</v>
      </c>
      <c r="D33" s="20" t="s">
        <v>481</v>
      </c>
      <c r="E33" s="17" t="str">
        <f>IF(xxx_Jars40[[#This Row],[Jar Type]]="", "", TEXT(_xlfn.XLOOKUP(xxx_Jars40[[#This Row],[Jar Type]], Containers!A:A, Containers!C:C), "General"))</f>
        <v>371</v>
      </c>
      <c r="F33" s="19" t="s">
        <v>153</v>
      </c>
      <c r="G33" s="19" t="s">
        <v>477</v>
      </c>
      <c r="H33" s="20" t="s">
        <v>460</v>
      </c>
      <c r="I33" s="20" t="str" cm="1">
        <f t="array" ref="I3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3" s="20" t="str" cm="1">
        <f t="array" ref="J3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3" s="17" t="s">
        <v>482</v>
      </c>
      <c r="L33" s="17" t="s">
        <v>14</v>
      </c>
      <c r="M33" s="17" t="s">
        <v>14</v>
      </c>
      <c r="N33" s="19" t="s">
        <v>236</v>
      </c>
      <c r="O33" s="19" t="s">
        <v>483</v>
      </c>
      <c r="P33" s="19">
        <f>IFERROR(VALUE(xxx_Jars40[[#This Row],[Fertilizer Added (g)]]), 0)</f>
        <v>0.23</v>
      </c>
      <c r="Q33" t="s">
        <v>155</v>
      </c>
      <c r="R33" s="20" t="s">
        <v>14</v>
      </c>
      <c r="S33" s="20" t="s">
        <v>14</v>
      </c>
      <c r="T33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3" s="20"/>
      <c r="V33" s="20"/>
      <c r="W33" s="17" t="s">
        <v>14</v>
      </c>
      <c r="X33" s="17">
        <f ca="1">IFERROR(SUM(_xlfn.SINGLE(xxx_Jars40[Fertilizer Added]), _xlfn.XLOOKUP(_xlfn.SINGLE(xxx_Jars40[Jar]), JarsPlusPlus_2[Jar], JarsPlusPlus_2[C:Total Fertilizer Added (g)])), _xlfn.SINGLE(xxx_Jars40[Fertilizer Added]))</f>
        <v>0.46</v>
      </c>
      <c r="Y33" s="17" t="s">
        <v>377</v>
      </c>
      <c r="Z33" s="17" t="s">
        <v>378</v>
      </c>
    </row>
    <row r="34" spans="1:27">
      <c r="A34" t="s">
        <v>484</v>
      </c>
      <c r="B34" s="19" t="s">
        <v>175</v>
      </c>
      <c r="C34" s="19" t="s">
        <v>238</v>
      </c>
      <c r="D34" s="20" t="s">
        <v>481</v>
      </c>
      <c r="E34" s="19" t="str">
        <f>IF(xxx_Jars40[[#This Row],[Jar Type]]="", "", TEXT(_xlfn.XLOOKUP(xxx_Jars40[[#This Row],[Jar Type]], Containers!A:A, Containers!C:C), "General"))</f>
        <v>1892.7</v>
      </c>
      <c r="F34" s="19" t="s">
        <v>153</v>
      </c>
      <c r="G34" s="19" t="s">
        <v>485</v>
      </c>
      <c r="H34" s="20" t="s">
        <v>460</v>
      </c>
      <c r="I34" s="20" t="str" cm="1">
        <f t="array" ref="I3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4" s="20" t="str" cm="1">
        <f t="array" ref="J3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4" s="17" t="s">
        <v>486</v>
      </c>
      <c r="L34" s="17" t="s">
        <v>14</v>
      </c>
      <c r="M34" s="17" t="s">
        <v>14</v>
      </c>
      <c r="N34" s="19" t="s">
        <v>236</v>
      </c>
      <c r="O34" s="17" t="s">
        <v>179</v>
      </c>
      <c r="P34" s="17">
        <f>IFERROR(VALUE(xxx_Jars40[[#This Row],[Fertilizer Added (g)]]), 0)</f>
        <v>0</v>
      </c>
      <c r="Q34" t="s">
        <v>155</v>
      </c>
      <c r="R34" s="20" t="s">
        <v>14</v>
      </c>
      <c r="S34" s="20" t="s">
        <v>14</v>
      </c>
      <c r="T34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4" s="20"/>
      <c r="V34" s="20"/>
      <c r="W34" s="17" t="s">
        <v>14</v>
      </c>
      <c r="X34" s="17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34" s="17" t="s">
        <v>377</v>
      </c>
      <c r="Z34" s="17" t="s">
        <v>378</v>
      </c>
    </row>
    <row r="35" spans="1:27">
      <c r="A35" t="s">
        <v>487</v>
      </c>
      <c r="B35" s="17" t="s">
        <v>183</v>
      </c>
      <c r="C35" s="8" t="s">
        <v>238</v>
      </c>
      <c r="D35" s="20" t="s">
        <v>481</v>
      </c>
      <c r="E35" s="19" t="str">
        <f>IF(xxx_Jars40[[#This Row],[Jar Type]]="", "", TEXT(_xlfn.XLOOKUP(xxx_Jars40[[#This Row],[Jar Type]], Containers!A:A, Containers!C:C), "General"))</f>
        <v>354</v>
      </c>
      <c r="F35" s="19" t="s">
        <v>153</v>
      </c>
      <c r="G35" s="17" t="s">
        <v>488</v>
      </c>
      <c r="H35" s="20" t="s">
        <v>460</v>
      </c>
      <c r="I35" s="20" t="str" cm="1">
        <f t="array" ref="I3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5" s="20" t="str" cm="1">
        <f t="array" ref="J3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5" s="17" t="s">
        <v>195</v>
      </c>
      <c r="L35" s="17" t="s">
        <v>14</v>
      </c>
      <c r="M35" s="17" t="s">
        <v>14</v>
      </c>
      <c r="N35" s="19" t="s">
        <v>236</v>
      </c>
      <c r="O35" s="19" t="s">
        <v>489</v>
      </c>
      <c r="P35" s="19">
        <f>IFERROR(VALUE(xxx_Jars40[[#This Row],[Fertilizer Added (g)]]), 0)</f>
        <v>0.17</v>
      </c>
      <c r="Q35" t="s">
        <v>155</v>
      </c>
      <c r="R35" s="17" t="s">
        <v>418</v>
      </c>
      <c r="S35" s="20" t="s">
        <v>14</v>
      </c>
      <c r="T35" s="20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U35" s="20"/>
      <c r="V35" s="20"/>
      <c r="W35" s="17" t="s">
        <v>14</v>
      </c>
      <c r="X35" s="17">
        <f ca="1">IFERROR(SUM(_xlfn.SINGLE(xxx_Jars40[Fertilizer Added]), _xlfn.XLOOKUP(_xlfn.SINGLE(xxx_Jars40[Jar]), JarsPlusPlus_2[Jar], JarsPlusPlus_2[C:Total Fertilizer Added (g)])), _xlfn.SINGLE(xxx_Jars40[Fertilizer Added]))</f>
        <v>0.34</v>
      </c>
      <c r="Y35" s="20" t="s">
        <v>490</v>
      </c>
      <c r="Z35" s="17" t="s">
        <v>378</v>
      </c>
    </row>
    <row r="36" spans="1:27">
      <c r="A36" t="s">
        <v>491</v>
      </c>
      <c r="B36" s="19" t="s">
        <v>175</v>
      </c>
      <c r="C36" s="17" t="s">
        <v>447</v>
      </c>
      <c r="D36" s="20" t="s">
        <v>458</v>
      </c>
      <c r="E36" s="21" t="str">
        <f>IF(xxx_Jars40[[#This Row],[Jar Type]]="", "", TEXT(_xlfn.XLOOKUP(xxx_Jars40[[#This Row],[Jar Type]], Containers!A:A, Containers!C:C), "General"))</f>
        <v>1892.7</v>
      </c>
      <c r="F36" s="19" t="s">
        <v>153</v>
      </c>
      <c r="G36" s="17" t="s">
        <v>488</v>
      </c>
      <c r="H36" s="20" t="s">
        <v>460</v>
      </c>
      <c r="I36" s="20" t="str" cm="1">
        <f t="array" ref="I3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6" s="20" t="str" cm="1">
        <f t="array" ref="J3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6" s="17" t="s">
        <v>492</v>
      </c>
      <c r="L36" s="17" t="s">
        <v>14</v>
      </c>
      <c r="M36" s="17" t="s">
        <v>14</v>
      </c>
      <c r="N36" s="19" t="s">
        <v>236</v>
      </c>
      <c r="O36" s="17" t="s">
        <v>493</v>
      </c>
      <c r="P36" s="17">
        <f>IFERROR(VALUE(xxx_Jars40[[#This Row],[Fertilizer Added (g)]]), 0)</f>
        <v>1.87</v>
      </c>
      <c r="Q36" t="s">
        <v>155</v>
      </c>
      <c r="R36" s="17" t="s">
        <v>375</v>
      </c>
      <c r="S36" s="17" t="s">
        <v>494</v>
      </c>
      <c r="T3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6" s="17" t="s">
        <v>14</v>
      </c>
      <c r="X36" s="17">
        <f ca="1">IFERROR(SUM(_xlfn.SINGLE(xxx_Jars40[Fertilizer Added]), _xlfn.XLOOKUP(_xlfn.SINGLE(xxx_Jars40[Jar]), JarsPlusPlus_2[Jar], JarsPlusPlus_2[C:Total Fertilizer Added (g)])), _xlfn.SINGLE(xxx_Jars40[Fertilizer Added]))</f>
        <v>3.74</v>
      </c>
      <c r="Y36" s="17" t="s">
        <v>377</v>
      </c>
      <c r="Z36" s="17" t="s">
        <v>378</v>
      </c>
    </row>
    <row r="37" spans="1:27">
      <c r="A37" t="s">
        <v>495</v>
      </c>
      <c r="B37" s="19" t="s">
        <v>175</v>
      </c>
      <c r="C37" s="17" t="s">
        <v>464</v>
      </c>
      <c r="D37" s="20" t="s">
        <v>458</v>
      </c>
      <c r="E37" s="21" t="str">
        <f>IF(xxx_Jars40[[#This Row],[Jar Type]]="", "", TEXT(_xlfn.XLOOKUP(xxx_Jars40[[#This Row],[Jar Type]], Containers!A:A, Containers!C:C), "General"))</f>
        <v>1892.7</v>
      </c>
      <c r="F37" s="19" t="s">
        <v>153</v>
      </c>
      <c r="G37" s="17" t="s">
        <v>488</v>
      </c>
      <c r="H37" s="20" t="s">
        <v>460</v>
      </c>
      <c r="I37" s="20" t="str" cm="1">
        <f t="array" ref="I3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7" s="20" t="str" cm="1">
        <f t="array" ref="J3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7" s="17" t="s">
        <v>383</v>
      </c>
      <c r="L37" s="17" t="s">
        <v>14</v>
      </c>
      <c r="M37" s="17" t="s">
        <v>14</v>
      </c>
      <c r="N37" s="19" t="s">
        <v>236</v>
      </c>
      <c r="O37" s="17" t="s">
        <v>478</v>
      </c>
      <c r="P37" s="17">
        <f>IFERROR(VALUE(xxx_Jars40[[#This Row],[Fertilizer Added (g)]]), 0)</f>
        <v>1.83</v>
      </c>
      <c r="Q37" t="s">
        <v>155</v>
      </c>
      <c r="R37" s="17" t="s">
        <v>387</v>
      </c>
      <c r="S37" s="17" t="s">
        <v>496</v>
      </c>
      <c r="T3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7" s="17" t="s">
        <v>14</v>
      </c>
      <c r="X37" s="17">
        <f ca="1">IFERROR(SUM(_xlfn.SINGLE(xxx_Jars40[Fertilizer Added]), _xlfn.XLOOKUP(_xlfn.SINGLE(xxx_Jars40[Jar]), JarsPlusPlus_2[Jar], JarsPlusPlus_2[C:Total Fertilizer Added (g)])), _xlfn.SINGLE(xxx_Jars40[Fertilizer Added]))</f>
        <v>5.46</v>
      </c>
      <c r="Y37" s="17" t="s">
        <v>377</v>
      </c>
      <c r="Z37" s="17" t="s">
        <v>378</v>
      </c>
    </row>
    <row r="38" spans="1:27">
      <c r="A38" t="s">
        <v>498</v>
      </c>
      <c r="B38" s="19" t="s">
        <v>175</v>
      </c>
      <c r="C38" s="17" t="s">
        <v>499</v>
      </c>
      <c r="D38" s="20" t="s">
        <v>458</v>
      </c>
      <c r="E38" s="17" t="str">
        <f>IF(xxx_Jars40[[#This Row],[Jar Type]]="", "", TEXT(_xlfn.XLOOKUP(xxx_Jars40[[#This Row],[Jar Type]], Containers!A:A, Containers!C:C), "General"))</f>
        <v>1892.7</v>
      </c>
      <c r="F38" s="19" t="s">
        <v>153</v>
      </c>
      <c r="G38" s="17" t="s">
        <v>488</v>
      </c>
      <c r="H38" s="20" t="s">
        <v>460</v>
      </c>
      <c r="I38" s="20" t="str" cm="1">
        <f t="array" ref="I3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8" s="20" t="str" cm="1">
        <f t="array" ref="J3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8" s="17" t="s">
        <v>465</v>
      </c>
      <c r="L38" s="17" t="s">
        <v>14</v>
      </c>
      <c r="M38" s="17" t="s">
        <v>14</v>
      </c>
      <c r="N38" s="19" t="s">
        <v>236</v>
      </c>
      <c r="O38" s="17" t="s">
        <v>500</v>
      </c>
      <c r="P38" s="17">
        <f>IFERROR(VALUE(xxx_Jars40[[#This Row],[Fertilizer Added (g)]]), 0)</f>
        <v>1.71</v>
      </c>
      <c r="Q38" t="s">
        <v>155</v>
      </c>
      <c r="R38" s="17" t="s">
        <v>372</v>
      </c>
      <c r="S38" s="17" t="s">
        <v>501</v>
      </c>
      <c r="T3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8" s="19" t="s">
        <v>153</v>
      </c>
      <c r="X38" s="19">
        <f ca="1">IFERROR(SUM(_xlfn.SINGLE(xxx_Jars40[Fertilizer Added]), _xlfn.XLOOKUP(_xlfn.SINGLE(xxx_Jars40[Jar]), JarsPlusPlus_2[Jar], JarsPlusPlus_2[C:Total Fertilizer Added (g)])), _xlfn.SINGLE(xxx_Jars40[Fertilizer Added]))</f>
        <v>4.1139999999999999</v>
      </c>
      <c r="Y38" s="17" t="s">
        <v>377</v>
      </c>
      <c r="Z38" s="17" t="s">
        <v>378</v>
      </c>
      <c r="AA38" s="17" t="s">
        <v>502</v>
      </c>
    </row>
    <row r="39" spans="1:27">
      <c r="A39" t="s">
        <v>503</v>
      </c>
      <c r="B39" s="19" t="s">
        <v>175</v>
      </c>
      <c r="C39" s="17" t="s">
        <v>504</v>
      </c>
      <c r="D39" s="20" t="s">
        <v>458</v>
      </c>
      <c r="E39" s="17" t="str">
        <f>IF(xxx_Jars40[[#This Row],[Jar Type]]="", "", TEXT(_xlfn.XLOOKUP(xxx_Jars40[[#This Row],[Jar Type]], Containers!A:A, Containers!C:C), "General"))</f>
        <v>1892.7</v>
      </c>
      <c r="F39" s="19" t="s">
        <v>153</v>
      </c>
      <c r="G39" s="17" t="s">
        <v>488</v>
      </c>
      <c r="H39" s="20" t="s">
        <v>460</v>
      </c>
      <c r="I39" s="20" t="str" cm="1">
        <f t="array" ref="I3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39" s="20" t="str" cm="1">
        <f t="array" ref="J3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39" s="17" t="s">
        <v>469</v>
      </c>
      <c r="L39" s="17" t="s">
        <v>14</v>
      </c>
      <c r="M39" s="17" t="s">
        <v>14</v>
      </c>
      <c r="N39" s="19" t="s">
        <v>236</v>
      </c>
      <c r="O39" s="17" t="s">
        <v>505</v>
      </c>
      <c r="P39" s="17">
        <f>IFERROR(VALUE(xxx_Jars40[[#This Row],[Fertilizer Added (g)]]), 0)</f>
        <v>1.66</v>
      </c>
      <c r="Q39" t="s">
        <v>155</v>
      </c>
      <c r="R39" s="17" t="s">
        <v>387</v>
      </c>
      <c r="S39" s="17" t="s">
        <v>506</v>
      </c>
      <c r="T39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39" s="17" t="s">
        <v>14</v>
      </c>
      <c r="X39" s="17">
        <f ca="1">IFERROR(SUM(_xlfn.SINGLE(xxx_Jars40[Fertilizer Added]), _xlfn.XLOOKUP(_xlfn.SINGLE(xxx_Jars40[Jar]), JarsPlusPlus_2[Jar], JarsPlusPlus_2[C:Total Fertilizer Added (g)])), _xlfn.SINGLE(xxx_Jars40[Fertilizer Added]))</f>
        <v>4.2119999999999997</v>
      </c>
      <c r="Y39" s="17" t="s">
        <v>377</v>
      </c>
      <c r="Z39" s="17" t="s">
        <v>378</v>
      </c>
    </row>
    <row r="40" spans="1:27">
      <c r="A40" t="s">
        <v>507</v>
      </c>
      <c r="B40" s="19" t="s">
        <v>175</v>
      </c>
      <c r="C40" s="17" t="s">
        <v>507</v>
      </c>
      <c r="D40" s="20" t="s">
        <v>458</v>
      </c>
      <c r="E40" s="17" t="str">
        <f>IF(xxx_Jars40[[#This Row],[Jar Type]]="", "", TEXT(_xlfn.XLOOKUP(xxx_Jars40[[#This Row],[Jar Type]], Containers!A:A, Containers!C:C), "General"))</f>
        <v>1892.7</v>
      </c>
      <c r="F40" s="19" t="s">
        <v>153</v>
      </c>
      <c r="G40" s="17" t="s">
        <v>488</v>
      </c>
      <c r="H40" s="20" t="s">
        <v>460</v>
      </c>
      <c r="I40" s="20" t="str" cm="1">
        <f t="array" ref="I4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0" s="20" t="str" cm="1">
        <f t="array" ref="J4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0" s="17" t="s">
        <v>473</v>
      </c>
      <c r="L40" s="17" t="s">
        <v>14</v>
      </c>
      <c r="M40" s="17" t="s">
        <v>14</v>
      </c>
      <c r="N40" s="19" t="s">
        <v>236</v>
      </c>
      <c r="O40" s="17" t="s">
        <v>508</v>
      </c>
      <c r="P40" s="17">
        <f>IFERROR(VALUE(xxx_Jars40[[#This Row],[Fertilizer Added (g)]]), 0)</f>
        <v>1.61</v>
      </c>
      <c r="Q40" t="s">
        <v>155</v>
      </c>
      <c r="R40" s="17" t="s">
        <v>387</v>
      </c>
      <c r="S40" s="17" t="s">
        <v>509</v>
      </c>
      <c r="T40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0" s="17" t="s">
        <v>14</v>
      </c>
      <c r="X40" s="17">
        <f ca="1">IFERROR(SUM(_xlfn.SINGLE(xxx_Jars40[Fertilizer Added]), _xlfn.XLOOKUP(_xlfn.SINGLE(xxx_Jars40[Jar]), JarsPlusPlus_2[Jar], JarsPlusPlus_2[C:Total Fertilizer Added (g)])), _xlfn.SINGLE(xxx_Jars40[Fertilizer Added]))</f>
        <v>3.22</v>
      </c>
      <c r="Y40" s="17" t="s">
        <v>377</v>
      </c>
      <c r="Z40" s="17" t="s">
        <v>378</v>
      </c>
    </row>
    <row r="41" spans="1:27">
      <c r="A41" t="s">
        <v>510</v>
      </c>
      <c r="B41" s="19" t="s">
        <v>175</v>
      </c>
      <c r="C41" s="17" t="s">
        <v>510</v>
      </c>
      <c r="D41" s="20" t="s">
        <v>458</v>
      </c>
      <c r="E41" s="17" t="str">
        <f>IF(xxx_Jars40[[#This Row],[Jar Type]]="", "", TEXT(_xlfn.XLOOKUP(xxx_Jars40[[#This Row],[Jar Type]], Containers!A:A, Containers!C:C), "General"))</f>
        <v>1892.7</v>
      </c>
      <c r="F41" s="19" t="s">
        <v>153</v>
      </c>
      <c r="G41" s="17" t="s">
        <v>488</v>
      </c>
      <c r="H41" s="20" t="s">
        <v>460</v>
      </c>
      <c r="I41" s="20" t="str" cm="1">
        <f t="array" ref="I4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1" s="20" t="str" cm="1">
        <f t="array" ref="J4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1" s="17" t="s">
        <v>511</v>
      </c>
      <c r="L41" s="17" t="s">
        <v>14</v>
      </c>
      <c r="M41" s="17" t="s">
        <v>14</v>
      </c>
      <c r="N41" s="19" t="s">
        <v>236</v>
      </c>
      <c r="O41" s="17" t="s">
        <v>512</v>
      </c>
      <c r="P41" s="17">
        <f>IFERROR(VALUE(xxx_Jars40[[#This Row],[Fertilizer Added (g)]]), 0)</f>
        <v>1.54</v>
      </c>
      <c r="Q41" t="s">
        <v>155</v>
      </c>
      <c r="R41" s="17" t="s">
        <v>387</v>
      </c>
      <c r="S41" s="17" t="s">
        <v>513</v>
      </c>
      <c r="T41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W41" s="17" t="s">
        <v>14</v>
      </c>
      <c r="X41" s="17">
        <f ca="1">IFERROR(SUM(_xlfn.SINGLE(xxx_Jars40[Fertilizer Added]), _xlfn.XLOOKUP(_xlfn.SINGLE(xxx_Jars40[Jar]), JarsPlusPlus_2[Jar], JarsPlusPlus_2[C:Total Fertilizer Added (g)])), _xlfn.SINGLE(xxx_Jars40[Fertilizer Added]))</f>
        <v>3.08</v>
      </c>
      <c r="Y41" s="17" t="s">
        <v>377</v>
      </c>
      <c r="Z41" s="17" t="s">
        <v>378</v>
      </c>
    </row>
    <row r="42" spans="1:27">
      <c r="A42" t="s">
        <v>514</v>
      </c>
      <c r="B42" s="17" t="s">
        <v>189</v>
      </c>
      <c r="C42" s="8" t="s">
        <v>238</v>
      </c>
      <c r="D42" s="17" t="s">
        <v>481</v>
      </c>
      <c r="E42" s="17" t="str">
        <f>IF(xxx_Jars40[[#This Row],[Jar Type]]="", "", TEXT(_xlfn.XLOOKUP(xxx_Jars40[[#This Row],[Jar Type]], Containers!A:A, Containers!C:C), "General"))</f>
        <v>361</v>
      </c>
      <c r="F42" s="19" t="s">
        <v>153</v>
      </c>
      <c r="G42" s="19" t="s">
        <v>515</v>
      </c>
      <c r="H42" s="20" t="s">
        <v>460</v>
      </c>
      <c r="I42" s="20" t="str" cm="1">
        <f t="array" ref="I4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2" s="20" t="str" cm="1">
        <f t="array" ref="J4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2" s="17" t="s">
        <v>482</v>
      </c>
      <c r="L42" s="17" t="s">
        <v>14</v>
      </c>
      <c r="M42" s="17" t="s">
        <v>14</v>
      </c>
      <c r="N42" s="19" t="s">
        <v>236</v>
      </c>
      <c r="O42" s="17" t="s">
        <v>179</v>
      </c>
      <c r="P42" s="17">
        <f>IFERROR(VALUE(xxx_Jars40[[#This Row],[Fertilizer Added (g)]]), 0)</f>
        <v>0</v>
      </c>
      <c r="Q42" t="s">
        <v>155</v>
      </c>
      <c r="R42" s="17" t="s">
        <v>14</v>
      </c>
      <c r="S42" s="17" t="s">
        <v>14</v>
      </c>
      <c r="T4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2" s="17" t="s">
        <v>14</v>
      </c>
      <c r="X42" s="17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2" s="17" t="s">
        <v>490</v>
      </c>
      <c r="Z42" s="17" t="s">
        <v>378</v>
      </c>
    </row>
    <row r="43" spans="1:27">
      <c r="A43" t="s">
        <v>516</v>
      </c>
      <c r="B43" s="17" t="s">
        <v>194</v>
      </c>
      <c r="C43" s="8" t="s">
        <v>238</v>
      </c>
      <c r="D43" s="17" t="s">
        <v>481</v>
      </c>
      <c r="E43" s="17" t="str">
        <f>IF(xxx_Jars40[[#This Row],[Jar Type]]="", "", TEXT(_xlfn.XLOOKUP(xxx_Jars40[[#This Row],[Jar Type]], Containers!A:A, Containers!C:C), "General"))</f>
        <v>250</v>
      </c>
      <c r="F43" s="19" t="s">
        <v>153</v>
      </c>
      <c r="G43" s="19" t="s">
        <v>517</v>
      </c>
      <c r="H43" s="20" t="s">
        <v>460</v>
      </c>
      <c r="I43" s="20" t="str" cm="1">
        <f t="array" ref="I4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3" s="20" t="str" cm="1">
        <f t="array" ref="J4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3" s="19" t="s">
        <v>518</v>
      </c>
      <c r="L43" s="17" t="s">
        <v>14</v>
      </c>
      <c r="M43" s="17" t="s">
        <v>14</v>
      </c>
      <c r="N43" s="19" t="s">
        <v>236</v>
      </c>
      <c r="O43" s="17" t="s">
        <v>179</v>
      </c>
      <c r="P43" s="17">
        <f>IFERROR(VALUE(xxx_Jars40[[#This Row],[Fertilizer Added (g)]]), 0)</f>
        <v>0</v>
      </c>
      <c r="Q43" t="s">
        <v>155</v>
      </c>
      <c r="R43" s="17" t="s">
        <v>14</v>
      </c>
      <c r="S43" s="17" t="s">
        <v>14</v>
      </c>
      <c r="T4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3" s="19" t="s">
        <v>153</v>
      </c>
      <c r="X43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3" s="17" t="s">
        <v>519</v>
      </c>
      <c r="Z43" s="17" t="s">
        <v>378</v>
      </c>
      <c r="AA43" s="17" t="s">
        <v>520</v>
      </c>
    </row>
    <row r="44" spans="1:27">
      <c r="A44" t="s">
        <v>521</v>
      </c>
      <c r="B44" s="20" t="s">
        <v>194</v>
      </c>
      <c r="C44" s="8" t="s">
        <v>238</v>
      </c>
      <c r="D44" s="19" t="s">
        <v>481</v>
      </c>
      <c r="E44" s="17" t="str">
        <f>IF(xxx_Jars40[[#This Row],[Jar Type]]="", "", TEXT(_xlfn.XLOOKUP(xxx_Jars40[[#This Row],[Jar Type]], Containers!A:A, Containers!C:C), "General"))</f>
        <v>250</v>
      </c>
      <c r="F44" s="19" t="s">
        <v>153</v>
      </c>
      <c r="G44" s="21" t="s">
        <v>517</v>
      </c>
      <c r="H44" s="20" t="s">
        <v>460</v>
      </c>
      <c r="I44" s="20" t="str" cm="1">
        <f t="array" ref="I4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4" s="20" t="str" cm="1">
        <f t="array" ref="J4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4" s="21" t="s">
        <v>518</v>
      </c>
      <c r="L44" s="17" t="s">
        <v>14</v>
      </c>
      <c r="M44" s="17" t="s">
        <v>14</v>
      </c>
      <c r="N44" s="19" t="s">
        <v>236</v>
      </c>
      <c r="O44" s="17" t="s">
        <v>179</v>
      </c>
      <c r="P44" s="17">
        <f>IFERROR(VALUE(xxx_Jars40[[#This Row],[Fertilizer Added (g)]]), 0)</f>
        <v>0</v>
      </c>
      <c r="Q44" t="s">
        <v>155</v>
      </c>
      <c r="R44" s="17" t="s">
        <v>14</v>
      </c>
      <c r="S44" s="17" t="s">
        <v>14</v>
      </c>
      <c r="T44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4" s="19" t="s">
        <v>153</v>
      </c>
      <c r="X44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4" s="20" t="s">
        <v>519</v>
      </c>
      <c r="Z44" s="17" t="s">
        <v>378</v>
      </c>
      <c r="AA44" s="3" t="s">
        <v>520</v>
      </c>
    </row>
    <row r="45" spans="1:27">
      <c r="A45" t="s">
        <v>522</v>
      </c>
      <c r="B45" s="20" t="s">
        <v>194</v>
      </c>
      <c r="C45" s="8" t="s">
        <v>238</v>
      </c>
      <c r="D45" s="19" t="s">
        <v>481</v>
      </c>
      <c r="E45" s="17" t="str">
        <f>IF(xxx_Jars40[[#This Row],[Jar Type]]="", "", TEXT(_xlfn.XLOOKUP(xxx_Jars40[[#This Row],[Jar Type]], Containers!A:A, Containers!C:C), "General"))</f>
        <v>250</v>
      </c>
      <c r="F45" s="19" t="s">
        <v>153</v>
      </c>
      <c r="G45" s="21" t="s">
        <v>517</v>
      </c>
      <c r="H45" s="20" t="s">
        <v>460</v>
      </c>
      <c r="I45" s="20" t="str" cm="1">
        <f t="array" ref="I4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5" s="20" t="str" cm="1">
        <f t="array" ref="J4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5" s="21" t="s">
        <v>518</v>
      </c>
      <c r="L45" s="17" t="s">
        <v>14</v>
      </c>
      <c r="M45" s="17" t="s">
        <v>14</v>
      </c>
      <c r="N45" s="19" t="s">
        <v>236</v>
      </c>
      <c r="O45" s="17" t="s">
        <v>179</v>
      </c>
      <c r="P45" s="17">
        <f>IFERROR(VALUE(xxx_Jars40[[#This Row],[Fertilizer Added (g)]]), 0)</f>
        <v>0</v>
      </c>
      <c r="Q45" t="s">
        <v>155</v>
      </c>
      <c r="R45" s="17" t="s">
        <v>14</v>
      </c>
      <c r="S45" s="17" t="s">
        <v>14</v>
      </c>
      <c r="T45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5" s="19" t="s">
        <v>153</v>
      </c>
      <c r="X45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5" s="20" t="s">
        <v>519</v>
      </c>
      <c r="Z45" s="17" t="s">
        <v>378</v>
      </c>
      <c r="AA45" s="3" t="s">
        <v>520</v>
      </c>
    </row>
    <row r="46" spans="1:27">
      <c r="A46" t="s">
        <v>523</v>
      </c>
      <c r="B46" s="17" t="s">
        <v>194</v>
      </c>
      <c r="C46" s="8" t="s">
        <v>238</v>
      </c>
      <c r="D46" s="17" t="s">
        <v>481</v>
      </c>
      <c r="E46" s="17" t="str">
        <f>IF(xxx_Jars40[[#This Row],[Jar Type]]="", "", TEXT(_xlfn.XLOOKUP(xxx_Jars40[[#This Row],[Jar Type]], Containers!A:A, Containers!C:C), "General"))</f>
        <v>250</v>
      </c>
      <c r="F46" s="19" t="s">
        <v>179</v>
      </c>
      <c r="G46" s="19" t="s">
        <v>524</v>
      </c>
      <c r="H46" s="20" t="s">
        <v>460</v>
      </c>
      <c r="I46" s="20" t="str" cm="1">
        <f t="array" ref="I4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6" s="20" t="str" cm="1">
        <f t="array" ref="J4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6" s="19" t="s">
        <v>525</v>
      </c>
      <c r="L46" s="17" t="s">
        <v>14</v>
      </c>
      <c r="M46" s="17" t="s">
        <v>14</v>
      </c>
      <c r="N46" s="19" t="s">
        <v>236</v>
      </c>
      <c r="O46" s="17" t="s">
        <v>179</v>
      </c>
      <c r="P46" s="17">
        <f>IFERROR(VALUE(xxx_Jars40[[#This Row],[Fertilizer Added (g)]]), 0)</f>
        <v>0</v>
      </c>
      <c r="Q46" t="s">
        <v>155</v>
      </c>
      <c r="R46" s="17" t="s">
        <v>14</v>
      </c>
      <c r="S46" s="17" t="s">
        <v>14</v>
      </c>
      <c r="T46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6" s="19" t="s">
        <v>179</v>
      </c>
      <c r="X46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6" s="17" t="s">
        <v>519</v>
      </c>
      <c r="Z46" s="17" t="s">
        <v>378</v>
      </c>
    </row>
    <row r="47" spans="1:27">
      <c r="A47" t="s">
        <v>526</v>
      </c>
      <c r="B47" s="20" t="s">
        <v>194</v>
      </c>
      <c r="C47" s="8" t="s">
        <v>238</v>
      </c>
      <c r="D47" s="19" t="s">
        <v>481</v>
      </c>
      <c r="E47" s="17" t="str">
        <f>IF(xxx_Jars40[[#This Row],[Jar Type]]="", "", TEXT(_xlfn.XLOOKUP(xxx_Jars40[[#This Row],[Jar Type]], Containers!A:A, Containers!C:C), "General"))</f>
        <v>250</v>
      </c>
      <c r="F47" s="19" t="s">
        <v>179</v>
      </c>
      <c r="G47" s="21" t="s">
        <v>524</v>
      </c>
      <c r="H47" s="20" t="s">
        <v>460</v>
      </c>
      <c r="I47" s="20" t="str" cm="1">
        <f t="array" ref="I4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7" s="20" t="str" cm="1">
        <f t="array" ref="J4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7" s="21" t="s">
        <v>527</v>
      </c>
      <c r="L47" s="17" t="s">
        <v>14</v>
      </c>
      <c r="M47" s="17" t="s">
        <v>14</v>
      </c>
      <c r="N47" s="19" t="s">
        <v>236</v>
      </c>
      <c r="O47" s="17" t="s">
        <v>179</v>
      </c>
      <c r="P47" s="17">
        <f>IFERROR(VALUE(xxx_Jars40[[#This Row],[Fertilizer Added (g)]]), 0)</f>
        <v>0</v>
      </c>
      <c r="Q47" t="s">
        <v>155</v>
      </c>
      <c r="R47" s="17" t="s">
        <v>14</v>
      </c>
      <c r="S47" s="17" t="s">
        <v>14</v>
      </c>
      <c r="T47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Finished</v>
      </c>
      <c r="W47" s="19" t="s">
        <v>179</v>
      </c>
      <c r="X47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7" s="20" t="s">
        <v>519</v>
      </c>
      <c r="Z47" s="17" t="s">
        <v>378</v>
      </c>
    </row>
    <row r="48" spans="1:27">
      <c r="A48" t="s">
        <v>528</v>
      </c>
      <c r="B48" s="20" t="s">
        <v>194</v>
      </c>
      <c r="C48" s="8" t="s">
        <v>238</v>
      </c>
      <c r="D48" s="19" t="s">
        <v>481</v>
      </c>
      <c r="E48" s="17" t="str">
        <f>IF(xxx_Jars40[[#This Row],[Jar Type]]="", "", TEXT(_xlfn.XLOOKUP(xxx_Jars40[[#This Row],[Jar Type]], Containers!A:A, Containers!C:C), "General"))</f>
        <v>250</v>
      </c>
      <c r="F48" s="19" t="s">
        <v>179</v>
      </c>
      <c r="G48" s="21" t="s">
        <v>524</v>
      </c>
      <c r="H48" s="20" t="s">
        <v>460</v>
      </c>
      <c r="I48" s="20" t="str" cm="1">
        <f t="array" ref="I4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8" s="20" t="str" cm="1">
        <f t="array" ref="J4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8" s="21" t="s">
        <v>529</v>
      </c>
      <c r="L48" s="17" t="s">
        <v>14</v>
      </c>
      <c r="M48" s="17" t="s">
        <v>14</v>
      </c>
      <c r="N48" s="19" t="s">
        <v>236</v>
      </c>
      <c r="O48" s="17" t="s">
        <v>179</v>
      </c>
      <c r="P48" s="17">
        <f>IFERROR(VALUE(xxx_Jars40[[#This Row],[Fertilizer Added (g)]]), 0)</f>
        <v>0</v>
      </c>
      <c r="Q48" t="s">
        <v>155</v>
      </c>
      <c r="R48" s="17" t="s">
        <v>14</v>
      </c>
      <c r="S48" s="17" t="s">
        <v>14</v>
      </c>
      <c r="T48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Growing</v>
      </c>
      <c r="W48" s="19" t="s">
        <v>179</v>
      </c>
      <c r="X48" s="19">
        <f ca="1">IFERROR(SUM(_xlfn.SINGLE(xxx_Jars40[Fertilizer Added]), _xlfn.XLOOKUP(_xlfn.SINGLE(xxx_Jars40[Jar]), JarsPlusPlus_2[Jar], JarsPlusPlus_2[C:Total Fertilizer Added (g)])), _xlfn.SINGLE(xxx_Jars40[Fertilizer Added]))</f>
        <v>0</v>
      </c>
      <c r="Y48" s="20" t="s">
        <v>519</v>
      </c>
      <c r="Z48" s="17" t="s">
        <v>378</v>
      </c>
    </row>
    <row r="49" spans="1:26">
      <c r="A49" s="10" t="s">
        <v>530</v>
      </c>
      <c r="B49" s="19" t="s">
        <v>175</v>
      </c>
      <c r="D49" s="17" t="s">
        <v>458</v>
      </c>
      <c r="E49" s="17" t="str">
        <f>IF(xxx_Jars40[[#This Row],[Jar Type]]="", "", TEXT(_xlfn.XLOOKUP(xxx_Jars40[[#This Row],[Jar Type]], Containers!A:A, Containers!C:C), "General"))</f>
        <v>1892.7</v>
      </c>
      <c r="F49" s="19" t="s">
        <v>153</v>
      </c>
      <c r="G49" s="19" t="s">
        <v>531</v>
      </c>
      <c r="H49" s="23" t="s">
        <v>460</v>
      </c>
      <c r="I49" s="20" t="str" cm="1">
        <f t="array" ref="I4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49" s="20" t="str" cm="1">
        <f t="array" ref="J4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49" s="19" t="s">
        <v>383</v>
      </c>
      <c r="L49" s="17" t="s">
        <v>14</v>
      </c>
      <c r="M49" s="17" t="s">
        <v>14</v>
      </c>
      <c r="N49" s="19" t="s">
        <v>236</v>
      </c>
      <c r="P49" s="17">
        <f>IFERROR(VALUE(xxx_Jars40[[#This Row],[Fertilizer Added (g)]]), 0)</f>
        <v>0</v>
      </c>
      <c r="Q49" t="s">
        <v>155</v>
      </c>
      <c r="T49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W49" s="19" t="s">
        <v>179</v>
      </c>
      <c r="X49" s="17">
        <f ca="1">IFERROR(SUM(_xlfn.SINGLE(xxx_Jars40[Fertilizer Added]), _xlfn.XLOOKUP(_xlfn.SINGLE(xxx_Jars40[Jar]), JarsPlusPlus_2[Jar], JarsPlusPlus_2[C:Total Fertilizer Added (g)])), _xlfn.SINGLE(xxx_Jars40[Fertilizer Added]))</f>
        <v>2.89</v>
      </c>
      <c r="Y49" s="17" t="s">
        <v>377</v>
      </c>
      <c r="Z49" s="17" t="s">
        <v>378</v>
      </c>
    </row>
    <row r="50" spans="1:26">
      <c r="A50" s="10" t="s">
        <v>532</v>
      </c>
      <c r="B50" s="19" t="s">
        <v>175</v>
      </c>
      <c r="D50" s="3" t="s">
        <v>458</v>
      </c>
      <c r="E50" s="17" t="str">
        <f>IF(xxx_Jars40[[#This Row],[Jar Type]]="", "", TEXT(_xlfn.XLOOKUP(xxx_Jars40[[#This Row],[Jar Type]], Containers!A:A, Containers!C:C), "General"))</f>
        <v>1892.7</v>
      </c>
      <c r="F50" s="19" t="s">
        <v>153</v>
      </c>
      <c r="G50" s="19" t="s">
        <v>531</v>
      </c>
      <c r="H50" s="23" t="s">
        <v>460</v>
      </c>
      <c r="I50" s="20" t="str" cm="1">
        <f t="array" ref="I5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0" s="20" t="str" cm="1">
        <f t="array" ref="J5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0" s="19" t="s">
        <v>383</v>
      </c>
      <c r="L50" s="17" t="s">
        <v>14</v>
      </c>
      <c r="M50" s="17" t="s">
        <v>14</v>
      </c>
      <c r="N50" s="19" t="s">
        <v>236</v>
      </c>
      <c r="P50" s="17">
        <f>IFERROR(VALUE(xxx_Jars40[[#This Row],[Fertilizer Added (g)]]), 0)</f>
        <v>0</v>
      </c>
      <c r="Q50" t="s">
        <v>155</v>
      </c>
      <c r="T50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>Ready</v>
      </c>
      <c r="W50" s="8" t="s">
        <v>179</v>
      </c>
      <c r="X50" s="17">
        <f ca="1">IFERROR(SUM(_xlfn.SINGLE(xxx_Jars40[Fertilizer Added]), _xlfn.XLOOKUP(_xlfn.SINGLE(xxx_Jars40[Jar]), JarsPlusPlus_2[Jar], JarsPlusPlus_2[C:Total Fertilizer Added (g)])), _xlfn.SINGLE(xxx_Jars40[Fertilizer Added]))</f>
        <v>2.9</v>
      </c>
      <c r="Y50" s="17" t="s">
        <v>377</v>
      </c>
      <c r="Z50" s="17" t="s">
        <v>378</v>
      </c>
    </row>
    <row r="51" spans="1:26">
      <c r="A51" s="10" t="s">
        <v>533</v>
      </c>
      <c r="B51" s="17" t="s">
        <v>177</v>
      </c>
      <c r="C51" s="8" t="s">
        <v>238</v>
      </c>
      <c r="D51" s="17" t="s">
        <v>481</v>
      </c>
      <c r="E51" s="17" t="str">
        <f>IF(xxx_Jars40[[#This Row],[Jar Type]]="", "", TEXT(_xlfn.XLOOKUP(xxx_Jars40[[#This Row],[Jar Type]], Containers!A:A, Containers!C:C), "General"))</f>
        <v>371</v>
      </c>
      <c r="F51" s="19" t="s">
        <v>153</v>
      </c>
      <c r="G51" s="19" t="s">
        <v>531</v>
      </c>
      <c r="H51" s="23" t="s">
        <v>460</v>
      </c>
      <c r="I51" s="20" t="str" cm="1">
        <f t="array" ref="I51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1" s="20" t="str" cm="1">
        <f t="array" ref="J51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1" s="19" t="s">
        <v>482</v>
      </c>
      <c r="L51" s="17" t="s">
        <v>14</v>
      </c>
      <c r="M51" s="17" t="s">
        <v>14</v>
      </c>
      <c r="N51" s="19" t="s">
        <v>236</v>
      </c>
      <c r="O51" s="19" t="s">
        <v>534</v>
      </c>
      <c r="P51" s="19">
        <f>IFERROR(VALUE(xxx_Jars40[[#This Row],[Fertilizer Added (g)]]), 0)</f>
        <v>0.28000000000000003</v>
      </c>
      <c r="Q51" t="s">
        <v>155</v>
      </c>
      <c r="R51" s="19" t="s">
        <v>535</v>
      </c>
      <c r="S51" s="19" t="s">
        <v>536</v>
      </c>
      <c r="T51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Seeding</v>
      </c>
      <c r="W51" s="8" t="s">
        <v>179</v>
      </c>
      <c r="X51" s="17">
        <f ca="1">IFERROR(SUM(_xlfn.SINGLE(xxx_Jars40[Fertilizer Added]), _xlfn.XLOOKUP(_xlfn.SINGLE(xxx_Jars40[Jar]), JarsPlusPlus_2[Jar], JarsPlusPlus_2[C:Total Fertilizer Added (g)])), _xlfn.SINGLE(xxx_Jars40[Fertilizer Added]))</f>
        <v>0.56000000000000005</v>
      </c>
      <c r="Y51" s="20" t="s">
        <v>519</v>
      </c>
      <c r="Z51" s="17" t="s">
        <v>378</v>
      </c>
    </row>
    <row r="52" spans="1:26">
      <c r="A52" s="10" t="s">
        <v>537</v>
      </c>
      <c r="B52" s="17" t="s">
        <v>189</v>
      </c>
      <c r="C52" s="8" t="s">
        <v>238</v>
      </c>
      <c r="D52" s="3" t="s">
        <v>481</v>
      </c>
      <c r="E52" s="17" t="str">
        <f>IF(xxx_Jars40[[#This Row],[Jar Type]]="", "", TEXT(_xlfn.XLOOKUP(xxx_Jars40[[#This Row],[Jar Type]], Containers!A:A, Containers!C:C), "General"))</f>
        <v>361</v>
      </c>
      <c r="F52" s="19" t="s">
        <v>153</v>
      </c>
      <c r="G52" s="19" t="s">
        <v>531</v>
      </c>
      <c r="H52" s="23" t="s">
        <v>460</v>
      </c>
      <c r="I52" s="20" t="str" cm="1">
        <f t="array" ref="I52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2" s="20" t="str" cm="1">
        <f t="array" ref="J52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2" s="19" t="s">
        <v>538</v>
      </c>
      <c r="L52" s="17" t="s">
        <v>14</v>
      </c>
      <c r="M52" s="17" t="s">
        <v>14</v>
      </c>
      <c r="N52" s="19" t="s">
        <v>236</v>
      </c>
      <c r="O52" s="19" t="s">
        <v>539</v>
      </c>
      <c r="P52" s="19">
        <f>IFERROR(VALUE(xxx_Jars40[[#This Row],[Fertilizer Added (g)]]), 0)</f>
        <v>0.3</v>
      </c>
      <c r="Q52" t="s">
        <v>155</v>
      </c>
      <c r="R52" s="19" t="s">
        <v>540</v>
      </c>
      <c r="S52" s="19" t="s">
        <v>541</v>
      </c>
      <c r="T52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Seeding</v>
      </c>
      <c r="W52" s="8" t="s">
        <v>179</v>
      </c>
      <c r="X52" s="17">
        <f ca="1">IFERROR(SUM(_xlfn.SINGLE(xxx_Jars40[Fertilizer Added]), _xlfn.XLOOKUP(_xlfn.SINGLE(xxx_Jars40[Jar]), JarsPlusPlus_2[Jar], JarsPlusPlus_2[C:Total Fertilizer Added (g)])), _xlfn.SINGLE(xxx_Jars40[Fertilizer Added]))</f>
        <v>0.6</v>
      </c>
      <c r="Y52" s="20" t="s">
        <v>519</v>
      </c>
      <c r="Z52" s="17" t="s">
        <v>378</v>
      </c>
    </row>
    <row r="53" spans="1:26">
      <c r="A53" s="10" t="s">
        <v>542</v>
      </c>
      <c r="B53" s="17" t="s">
        <v>183</v>
      </c>
      <c r="C53" s="8" t="s">
        <v>238</v>
      </c>
      <c r="D53" s="3" t="s">
        <v>481</v>
      </c>
      <c r="E53" s="17" t="str">
        <f>IF(xxx_Jars40[[#This Row],[Jar Type]]="", "", TEXT(_xlfn.XLOOKUP(xxx_Jars40[[#This Row],[Jar Type]], Containers!A:A, Containers!C:C), "General"))</f>
        <v>354</v>
      </c>
      <c r="F53" s="19" t="s">
        <v>153</v>
      </c>
      <c r="G53" s="19" t="s">
        <v>531</v>
      </c>
      <c r="H53" s="23" t="s">
        <v>460</v>
      </c>
      <c r="I53" s="20" t="str" cm="1">
        <f t="array" ref="I53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>0000</v>
      </c>
      <c r="J53" s="20" t="str" cm="1">
        <f t="array" ref="J53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>0000</v>
      </c>
      <c r="K53" s="19" t="s">
        <v>195</v>
      </c>
      <c r="L53" s="17" t="s">
        <v>14</v>
      </c>
      <c r="M53" s="17" t="s">
        <v>14</v>
      </c>
      <c r="N53" s="19" t="s">
        <v>236</v>
      </c>
      <c r="O53" s="19" t="s">
        <v>543</v>
      </c>
      <c r="P53" s="19">
        <f>IFERROR(VALUE(xxx_Jars40[[#This Row],[Fertilizer Added (g)]]), 0)</f>
        <v>0.24</v>
      </c>
      <c r="Q53" t="s">
        <v>155</v>
      </c>
      <c r="R53" s="19" t="s">
        <v>544</v>
      </c>
      <c r="S53" s="19" t="s">
        <v>545</v>
      </c>
      <c r="T53" s="17" t="str">
        <f ca="1">IF(xxx_Jars40[[#This Row],[Jar]]="", "", IFERROR(IFERROR(_xlfn.XLOOKUP(xxx_Jars40[[#This Row],[Jar]], Growing[Growing Jar], Growing[Status]), _xlfn.XLOOKUP(xxx_Jars40[[#This Row],[Jar]], Growing[Seeding Jar], Growing[Status])), "Ready"))</f>
        <v>Seeding</v>
      </c>
      <c r="W53" s="8" t="s">
        <v>179</v>
      </c>
      <c r="X53" s="17">
        <f ca="1">IFERROR(SUM(_xlfn.SINGLE(xxx_Jars40[Fertilizer Added]), _xlfn.XLOOKUP(_xlfn.SINGLE(xxx_Jars40[Jar]), JarsPlusPlus_2[Jar], JarsPlusPlus_2[C:Total Fertilizer Added (g)])), _xlfn.SINGLE(xxx_Jars40[Fertilizer Added]))</f>
        <v>0.48</v>
      </c>
      <c r="Y53" s="20" t="s">
        <v>519</v>
      </c>
      <c r="Z53" s="17" t="s">
        <v>378</v>
      </c>
    </row>
    <row r="54" spans="1:26">
      <c r="E54" s="17" t="str">
        <f>IF(xxx_Jars40[[#This Row],[Jar Type]]="", "", TEXT(_xlfn.XLOOKUP(xxx_Jars40[[#This Row],[Jar Type]], Containers!A:A, Containers!C:C), "General"))</f>
        <v/>
      </c>
      <c r="H54" s="23"/>
      <c r="I54" s="20" t="str" cm="1">
        <f t="array" ref="I54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4" s="20" t="str" cm="1">
        <f t="array" ref="J54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4" s="17">
        <f>IFERROR(VALUE(xxx_Jars40[[#This Row],[Fertilizer Added (g)]]), 0)</f>
        <v>0</v>
      </c>
      <c r="T54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4" s="17" t="str" cm="1">
        <f t="array" ref="W54">_xlfn.LET(
    _xlpm.water, xxx_Jars40[[#This Row],[Water Added (mL)]],
    _xlpm.additional,#REF!,
    IF( _xlpm.water="", "", IF(_xlpm.additional="Unknown", VALUE(_xlpm.water), VALUE(_xlpm.water)+VALUE(_xlpm.additional)))
)</f>
        <v/>
      </c>
      <c r="X54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5" spans="1:26">
      <c r="E55" s="17" t="str">
        <f>IF(xxx_Jars40[[#This Row],[Jar Type]]="", "", TEXT(_xlfn.XLOOKUP(xxx_Jars40[[#This Row],[Jar Type]], Containers!A:A, Containers!C:C), "General"))</f>
        <v/>
      </c>
      <c r="H55" s="23"/>
      <c r="I55" s="20" t="str" cm="1">
        <f t="array" ref="I55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5" s="20" t="str" cm="1">
        <f t="array" ref="J55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5" s="17">
        <f>IFERROR(VALUE(xxx_Jars40[[#This Row],[Fertilizer Added (g)]]), 0)</f>
        <v>0</v>
      </c>
      <c r="T55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5" s="17" t="str" cm="1">
        <f t="array" ref="W55">_xlfn.LET(
    _xlpm.water, xxx_Jars40[[#This Row],[Water Added (mL)]],
    _xlpm.additional,#REF!,
    IF( _xlpm.water="", "", IF(_xlpm.additional="Unknown", VALUE(_xlpm.water), VALUE(_xlpm.water)+VALUE(_xlpm.additional)))
)</f>
        <v/>
      </c>
      <c r="X55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6" spans="1:26">
      <c r="E56" s="17" t="str">
        <f>IF(xxx_Jars40[[#This Row],[Jar Type]]="", "", TEXT(_xlfn.XLOOKUP(xxx_Jars40[[#This Row],[Jar Type]], Containers!A:A, Containers!C:C), "General"))</f>
        <v/>
      </c>
      <c r="H56" s="23"/>
      <c r="I56" s="20" t="str" cm="1">
        <f t="array" ref="I56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6" s="20" t="str" cm="1">
        <f t="array" ref="J56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6" s="17">
        <f>IFERROR(VALUE(xxx_Jars40[[#This Row],[Fertilizer Added (g)]]), 0)</f>
        <v>0</v>
      </c>
      <c r="T56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6" s="17" t="str" cm="1">
        <f t="array" ref="W56">_xlfn.LET(
    _xlpm.water, xxx_Jars40[[#This Row],[Water Added (mL)]],
    _xlpm.additional,#REF!,
    IF( _xlpm.water="", "", IF(_xlpm.additional="Unknown", VALUE(_xlpm.water), VALUE(_xlpm.water)+VALUE(_xlpm.additional)))
)</f>
        <v/>
      </c>
      <c r="X56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7" spans="1:26">
      <c r="E57" s="17" t="str">
        <f>IF(xxx_Jars40[[#This Row],[Jar Type]]="", "", TEXT(_xlfn.XLOOKUP(xxx_Jars40[[#This Row],[Jar Type]], Containers!A:A, Containers!C:C), "General"))</f>
        <v/>
      </c>
      <c r="H57" s="23"/>
      <c r="I57" s="20" t="str" cm="1">
        <f t="array" ref="I57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7" s="20" t="str" cm="1">
        <f t="array" ref="J57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7" s="17">
        <f>IFERROR(VALUE(xxx_Jars40[[#This Row],[Fertilizer Added (g)]]), 0)</f>
        <v>0</v>
      </c>
      <c r="T57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7" s="17" t="str" cm="1">
        <f t="array" ref="W57">_xlfn.LET(
    _xlpm.water, xxx_Jars40[[#This Row],[Water Added (mL)]],
    _xlpm.additional,#REF!,
    IF( _xlpm.water="", "", IF(_xlpm.additional="Unknown", VALUE(_xlpm.water), VALUE(_xlpm.water)+VALUE(_xlpm.additional)))
)</f>
        <v/>
      </c>
      <c r="X57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8" spans="1:26">
      <c r="E58" s="17" t="str">
        <f>IF(xxx_Jars40[[#This Row],[Jar Type]]="", "", TEXT(_xlfn.XLOOKUP(xxx_Jars40[[#This Row],[Jar Type]], Containers!A:A, Containers!C:C), "General"))</f>
        <v/>
      </c>
      <c r="H58" s="23"/>
      <c r="I58" s="20" t="str" cm="1">
        <f t="array" ref="I58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8" s="20" t="str" cm="1">
        <f t="array" ref="J58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8" s="17">
        <f>IFERROR(VALUE(xxx_Jars40[[#This Row],[Fertilizer Added (g)]]), 0)</f>
        <v>0</v>
      </c>
      <c r="T58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8" s="17" t="str" cm="1">
        <f t="array" ref="W58">_xlfn.LET(
    _xlpm.water, xxx_Jars40[[#This Row],[Water Added (mL)]],
    _xlpm.additional,#REF!,
    IF( _xlpm.water="", "", IF(_xlpm.additional="Unknown", VALUE(_xlpm.water), VALUE(_xlpm.water)+VALUE(_xlpm.additional)))
)</f>
        <v/>
      </c>
      <c r="X58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59" spans="1:26">
      <c r="E59" s="17" t="str">
        <f>IF(xxx_Jars40[[#This Row],[Jar Type]]="", "", TEXT(_xlfn.XLOOKUP(xxx_Jars40[[#This Row],[Jar Type]], Containers!A:A, Containers!C:C), "General"))</f>
        <v/>
      </c>
      <c r="H59" s="23"/>
      <c r="I59" s="20" t="str" cm="1">
        <f t="array" ref="I59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59" s="20" t="str" cm="1">
        <f t="array" ref="J59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59" s="17">
        <f>IFERROR(VALUE(xxx_Jars40[[#This Row],[Fertilizer Added (g)]]), 0)</f>
        <v>0</v>
      </c>
      <c r="T59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59" s="17" t="str" cm="1">
        <f t="array" ref="W59">_xlfn.LET(
    _xlpm.water, xxx_Jars40[[#This Row],[Water Added (mL)]],
    _xlpm.additional,#REF!,
    IF( _xlpm.water="", "", IF(_xlpm.additional="Unknown", VALUE(_xlpm.water), VALUE(_xlpm.water)+VALUE(_xlpm.additional)))
)</f>
        <v/>
      </c>
      <c r="X59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  <row r="60" spans="1:26">
      <c r="E60" s="17" t="str">
        <f>IF(xxx_Jars40[[#This Row],[Jar Type]]="", "", TEXT(_xlfn.XLOOKUP(xxx_Jars40[[#This Row],[Jar Type]], Containers!A:A, Containers!C:C), "General"))</f>
        <v/>
      </c>
      <c r="H60" s="23"/>
      <c r="I60" s="20" t="str" cm="1">
        <f t="array" ref="I60">IF(_xlfn.SINGLE(xxx_Jars40[Jar Type])="", "", TEXT(IFERROR(MEDIAN(_xlfn._xlws.FILTER(VALUE(xxx_Jars40[Water Added (mL)]), (xxx_Jars40[Jar Purpose]=xxx_Jars40[[#This Row],[Jar Purpose]])*(xxx_Jars40[Jar Type]=xxx_Jars40[[#This Row],[Jar Type]])*(#REF!="1"))), 0), "0000"))</f>
        <v/>
      </c>
      <c r="J60" s="20" t="str" cm="1">
        <f t="array" ref="J60">IF(_xlfn.SINGLE(xxx_Jars40[Jar Type])="", "", TEXT(IFERROR(MEDIAN(_xlfn._xlws.FILTER(VALUE(xxx_Jars40[Water Added (mL)]), (xxx_Jars40[Jar Purpose]=xxx_Jars40[[#This Row],[Jar Purpose]])*(xxx_Jars40[Jar Type]=xxx_Jars40[[#This Row],[Jar Type]])*(#REF!="0"))), 0), "0000"))</f>
        <v/>
      </c>
      <c r="P60" s="17">
        <f>IFERROR(VALUE(xxx_Jars40[[#This Row],[Fertilizer Added (g)]]), 0)</f>
        <v>0</v>
      </c>
      <c r="T60" s="17" t="str">
        <f>IF(xxx_Jars40[[#This Row],[Jar]]="", "", IFERROR(IFERROR(_xlfn.XLOOKUP(xxx_Jars40[[#This Row],[Jar]], Growing[Growing Jar], Growing[Status]), _xlfn.XLOOKUP(xxx_Jars40[[#This Row],[Jar]], Growing[Seeding Jar], Growing[Status])), "Ready"))</f>
        <v/>
      </c>
      <c r="W60" s="17" t="str" cm="1">
        <f t="array" ref="W60">_xlfn.LET(
    _xlpm.water, xxx_Jars40[[#This Row],[Water Added (mL)]],
    _xlpm.additional,#REF!,
    IF( _xlpm.water="", "", IF(_xlpm.additional="Unknown", VALUE(_xlpm.water), VALUE(_xlpm.water)+VALUE(_xlpm.additional)))
)</f>
        <v/>
      </c>
      <c r="X60" s="17">
        <f ca="1">IFERROR(SUM(_xlfn.SINGLE(xxx_Jars40[Fertilizer Added]), _xlfn.XLOOKUP(_xlfn.SINGLE(xxx_Jars40[Jar]), JarsPlusPlus_2[Jar], JarsPlusPlus_2[C:Total Fertilizer Added (g)])), _xlfn.SINGLE(xxx_Jars40[Fertilizer Added]))</f>
        <v>0</v>
      </c>
    </row>
  </sheetData>
  <conditionalFormatting sqref="U11:X27">
    <cfRule type="expression" dxfId="256" priority="4">
      <formula>AND($S11="",$O11&lt;&gt;"")</formula>
    </cfRule>
  </conditionalFormatting>
  <conditionalFormatting sqref="A11:AF999999">
    <cfRule type="expression" dxfId="255" priority="3">
      <formula>AND(A11="", $A11&lt;&gt;"", A$10&lt;&gt;"")</formula>
    </cfRule>
  </conditionalFormatting>
  <conditionalFormatting sqref="W11:X27">
    <cfRule type="expression" dxfId="254" priority="2">
      <formula>AND($S11="",$O11&lt;&gt;"")</formula>
    </cfRule>
  </conditionalFormatting>
  <conditionalFormatting sqref="U11:X27">
    <cfRule type="expression" dxfId="253" priority="5">
      <formula>AND($O11="",$A11&lt;&gt;"")</formula>
    </cfRule>
  </conditionalFormatting>
  <conditionalFormatting sqref="A11:AF999999">
    <cfRule type="expression" dxfId="252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6CBD-73DB-4AD5-A97C-67B9F776D4D9}">
  <dimension ref="A1:T60"/>
  <sheetViews>
    <sheetView workbookViewId="0">
      <pane xSplit="2" topLeftCell="L11" activePane="topRight" state="frozen"/>
      <selection pane="topRight" activeCell="P52" sqref="P52"/>
    </sheetView>
  </sheetViews>
  <sheetFormatPr defaultRowHeight="15"/>
  <cols>
    <col min="1" max="1" width="8.5703125" customWidth="1"/>
    <col min="2" max="2" width="26.28515625" style="17" customWidth="1"/>
    <col min="3" max="3" width="41.7109375" style="17" customWidth="1"/>
    <col min="4" max="4" width="19.85546875" style="17" customWidth="1"/>
    <col min="5" max="5" width="13.7109375" style="17" customWidth="1"/>
    <col min="6" max="6" width="13.28515625" style="17" customWidth="1"/>
    <col min="7" max="7" width="13.42578125" style="17" customWidth="1"/>
    <col min="8" max="8" width="25.42578125" style="17" customWidth="1"/>
    <col min="9" max="9" width="25.7109375" style="17" customWidth="1"/>
    <col min="10" max="10" width="15.7109375" style="17" customWidth="1"/>
    <col min="11" max="11" width="12.28515625" style="17" customWidth="1"/>
    <col min="12" max="12" width="15.42578125" style="17" customWidth="1"/>
    <col min="13" max="13" width="16.28515625" style="17" customWidth="1"/>
    <col min="14" max="14" width="12.85546875" style="17" customWidth="1"/>
    <col min="15" max="15" width="17.42578125" style="17" customWidth="1"/>
    <col min="16" max="16" width="16.140625" style="17" customWidth="1"/>
    <col min="17" max="17" width="23.7109375" style="17" customWidth="1"/>
    <col min="18" max="18" width="20.7109375" style="17" customWidth="1"/>
    <col min="19" max="19" width="19.85546875" style="17" customWidth="1"/>
    <col min="20" max="20" width="162.7109375" style="17" customWidth="1"/>
    <col min="21" max="16384" width="9.140625" style="17"/>
  </cols>
  <sheetData>
    <row r="1" spans="1:20">
      <c r="H1" s="22"/>
      <c r="I1" s="22"/>
      <c r="K1" s="17" t="s">
        <v>332</v>
      </c>
      <c r="L1" s="17" t="s">
        <v>333</v>
      </c>
      <c r="N1" s="17" t="s">
        <v>334</v>
      </c>
      <c r="O1" s="3" t="s">
        <v>334</v>
      </c>
    </row>
    <row r="9" spans="1:20">
      <c r="E9" s="19" t="s">
        <v>335</v>
      </c>
      <c r="F9" s="17" t="s">
        <v>336</v>
      </c>
      <c r="H9" s="19" t="s">
        <v>337</v>
      </c>
      <c r="I9" s="19" t="s">
        <v>338</v>
      </c>
      <c r="J9" s="17" t="s">
        <v>336</v>
      </c>
      <c r="M9" s="19" t="s">
        <v>339</v>
      </c>
      <c r="N9" s="17" t="s">
        <v>336</v>
      </c>
      <c r="P9" s="17" t="s">
        <v>550</v>
      </c>
      <c r="Q9" s="17" t="s">
        <v>336</v>
      </c>
    </row>
    <row r="10" spans="1:20">
      <c r="A10" t="s">
        <v>168</v>
      </c>
      <c r="B10" s="17" t="s">
        <v>340</v>
      </c>
      <c r="C10" s="17" t="s">
        <v>341</v>
      </c>
      <c r="D10" s="17" t="s">
        <v>342</v>
      </c>
      <c r="E10" s="17" t="s">
        <v>343</v>
      </c>
      <c r="F10" s="17" t="s">
        <v>344</v>
      </c>
      <c r="G10" s="17" t="s">
        <v>345</v>
      </c>
      <c r="H10" s="17" t="s">
        <v>347</v>
      </c>
      <c r="I10" s="17" t="s">
        <v>348</v>
      </c>
      <c r="J10" s="17" t="s">
        <v>353</v>
      </c>
      <c r="K10" s="17" t="s">
        <v>354</v>
      </c>
      <c r="L10" s="17" t="s">
        <v>355</v>
      </c>
      <c r="M10" s="17" t="s">
        <v>356</v>
      </c>
      <c r="N10" s="17" t="s">
        <v>362</v>
      </c>
      <c r="O10" s="17" t="s">
        <v>547</v>
      </c>
      <c r="P10" s="17" t="s">
        <v>548</v>
      </c>
      <c r="Q10" s="17" t="s">
        <v>360</v>
      </c>
      <c r="R10" s="17" t="s">
        <v>364</v>
      </c>
      <c r="S10" s="17" t="s">
        <v>365</v>
      </c>
      <c r="T10" s="17" t="s">
        <v>106</v>
      </c>
    </row>
    <row r="11" spans="1:20">
      <c r="A11" s="10" t="s">
        <v>153</v>
      </c>
      <c r="B11" s="19" t="s">
        <v>175</v>
      </c>
      <c r="C11" s="17" t="s">
        <v>366</v>
      </c>
      <c r="D11" s="20" t="s">
        <v>367</v>
      </c>
      <c r="E11" s="21" t="str">
        <f>IF(Jars[[#This Row],[Jar Type]]="", "", TEXT(_xlfn.XLOOKUP(Jars[[#This Row],[Jar Type]], Containers!A:A, Containers!C:C), "General"))</f>
        <v>1892.7</v>
      </c>
      <c r="F11" s="19" t="s">
        <v>179</v>
      </c>
      <c r="G11" s="19" t="s">
        <v>368</v>
      </c>
      <c r="H11" s="19" t="str" cm="1">
        <f t="array" ref="H1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1" s="19" t="str" cm="1">
        <f t="array" ref="I1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1" t="s">
        <v>155</v>
      </c>
      <c r="K11" s="17" t="str" cm="1">
        <f t="array" ref="K11">IF(Jars[[#This Row],[Jar]]="", "", IFERROR(_xlfn.XLOOKUP(1, (JarsPlusPlus_1[Jar]=Jars[[#This Row],[Jar]])*(JarsPlusPlus_1[Date Added]=Jars[[#This Row],[Date Made]]), JarsPlusPlus_1[Final pH]), "Unknown"))</f>
        <v>5.75</v>
      </c>
      <c r="L11" s="17" t="str" cm="1">
        <f t="array" ref="L11">IF(Jars[[#This Row],[Jar]]="", "", IFERROR(_xlfn.XLOOKUP(1, (JarsPlusPlus_1[Jar]=Jars[[#This Row],[Jar]])*(JarsPlusPlus_1[Date Added]=Jars[[#This Row],[Date Made]]), JarsPlusPlus_1[Final EC (μS/cm)]), "Unknown"))</f>
        <v>1040</v>
      </c>
      <c r="M11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1" s="1" t="s">
        <v>375</v>
      </c>
      <c r="O11" s="1" t="s">
        <v>376</v>
      </c>
      <c r="P11" s="17" t="s">
        <v>14</v>
      </c>
      <c r="Q11" s="17">
        <f ca="1">IF(Jars[[#This Row],[Jar]]="", "", IFERROR(SUM(_xlfn.XLOOKUP(Jars[[#This Row],[Jar]], JarsPlusPlus_4[Jar], JarsPlusPlus_4[C:Total Water Added (mL)])), "Unknown"))</f>
        <v>1750</v>
      </c>
      <c r="R11" s="17" t="s">
        <v>377</v>
      </c>
      <c r="S11" s="17" t="s">
        <v>378</v>
      </c>
    </row>
    <row r="12" spans="1:20">
      <c r="A12" t="s">
        <v>157</v>
      </c>
      <c r="B12" s="19" t="s">
        <v>175</v>
      </c>
      <c r="C12" s="17" t="s">
        <v>379</v>
      </c>
      <c r="D12" s="20" t="s">
        <v>367</v>
      </c>
      <c r="E12" s="21" t="str">
        <f>IF(Jars[[#This Row],[Jar Type]]="", "", TEXT(_xlfn.XLOOKUP(Jars[[#This Row],[Jar Type]], Containers!A:A, Containers!C:C), "General"))</f>
        <v>1892.7</v>
      </c>
      <c r="F12" s="19" t="s">
        <v>179</v>
      </c>
      <c r="G12" s="19" t="s">
        <v>368</v>
      </c>
      <c r="H12" s="20" t="str" cm="1">
        <f t="array" ref="H1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2" s="20" t="str" cm="1">
        <f t="array" ref="I1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2" t="s">
        <v>155</v>
      </c>
      <c r="K12" s="17" t="str" cm="1">
        <f t="array" ref="K12">IF(Jars[[#This Row],[Jar]]="", "", IFERROR(_xlfn.XLOOKUP(1, (JarsPlusPlus_1[Jar]=Jars[[#This Row],[Jar]])*(JarsPlusPlus_1[Date Added]=Jars[[#This Row],[Date Made]]), JarsPlusPlus_1[Final pH]), "Unknown"))</f>
        <v>5.75</v>
      </c>
      <c r="L12" s="17" t="str" cm="1">
        <f t="array" ref="L12">IF(Jars[[#This Row],[Jar]]="", "", IFERROR(_xlfn.XLOOKUP(1, (JarsPlusPlus_1[Jar]=Jars[[#This Row],[Jar]])*(JarsPlusPlus_1[Date Added]=Jars[[#This Row],[Date Made]]), JarsPlusPlus_1[Final EC (μS/cm)]), "Unknown"))</f>
        <v>1011</v>
      </c>
      <c r="M12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2" s="1" t="s">
        <v>375</v>
      </c>
      <c r="O12" s="1" t="s">
        <v>381</v>
      </c>
      <c r="P12" s="17" t="s">
        <v>14</v>
      </c>
      <c r="Q12" s="17">
        <f ca="1">IF(Jars[[#This Row],[Jar]]="", "", IFERROR(SUM(_xlfn.XLOOKUP(Jars[[#This Row],[Jar]], JarsPlusPlus_4[Jar], JarsPlusPlus_4[C:Total Water Added (mL)])), "Unknown"))</f>
        <v>1750</v>
      </c>
      <c r="R12" s="17" t="s">
        <v>377</v>
      </c>
      <c r="S12" s="20" t="s">
        <v>378</v>
      </c>
      <c r="T12" s="20"/>
    </row>
    <row r="13" spans="1:20">
      <c r="A13" t="s">
        <v>161</v>
      </c>
      <c r="B13" s="19" t="s">
        <v>175</v>
      </c>
      <c r="C13" s="17" t="s">
        <v>382</v>
      </c>
      <c r="D13" s="20" t="s">
        <v>367</v>
      </c>
      <c r="E13" s="21" t="str">
        <f>IF(Jars[[#This Row],[Jar Type]]="", "", TEXT(_xlfn.XLOOKUP(Jars[[#This Row],[Jar Type]], Containers!A:A, Containers!C:C), "General"))</f>
        <v>1892.7</v>
      </c>
      <c r="F13" s="19" t="s">
        <v>179</v>
      </c>
      <c r="G13" s="19" t="s">
        <v>368</v>
      </c>
      <c r="H13" s="20" t="str" cm="1">
        <f t="array" ref="H1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3" s="20" t="str" cm="1">
        <f t="array" ref="I1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3" t="s">
        <v>155</v>
      </c>
      <c r="K13" s="17" t="str" cm="1">
        <f t="array" ref="K13">IF(Jars[[#This Row],[Jar]]="", "", IFERROR(_xlfn.XLOOKUP(1, (JarsPlusPlus_1[Jar]=Jars[[#This Row],[Jar]])*(JarsPlusPlus_1[Date Added]=Jars[[#This Row],[Date Made]]), JarsPlusPlus_1[Final pH]), "Unknown"))</f>
        <v>5.25</v>
      </c>
      <c r="L13" s="17" t="str" cm="1">
        <f t="array" ref="L13">IF(Jars[[#This Row],[Jar]]="", "", IFERROR(_xlfn.XLOOKUP(1, (JarsPlusPlus_1[Jar]=Jars[[#This Row],[Jar]])*(JarsPlusPlus_1[Date Added]=Jars[[#This Row],[Date Made]]), JarsPlusPlus_1[Final EC (μS/cm)]), "Unknown"))</f>
        <v>683</v>
      </c>
      <c r="M1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3" s="1" t="s">
        <v>387</v>
      </c>
      <c r="O13" s="1" t="s">
        <v>388</v>
      </c>
      <c r="P13" s="17" t="s">
        <v>14</v>
      </c>
      <c r="Q13" s="17">
        <f ca="1">IF(Jars[[#This Row],[Jar]]="", "", IFERROR(SUM(_xlfn.XLOOKUP(Jars[[#This Row],[Jar]], JarsPlusPlus_4[Jar], JarsPlusPlus_4[C:Total Water Added (mL)])), "Unknown"))</f>
        <v>1700</v>
      </c>
      <c r="R13" s="17" t="s">
        <v>377</v>
      </c>
      <c r="S13" s="17" t="s">
        <v>378</v>
      </c>
      <c r="T13" s="20"/>
    </row>
    <row r="14" spans="1:20">
      <c r="A14" t="s">
        <v>389</v>
      </c>
      <c r="B14" s="19" t="s">
        <v>175</v>
      </c>
      <c r="C14" s="17" t="s">
        <v>390</v>
      </c>
      <c r="D14" s="20" t="s">
        <v>367</v>
      </c>
      <c r="E14" s="21" t="str">
        <f>IF(Jars[[#This Row],[Jar Type]]="", "", TEXT(_xlfn.XLOOKUP(Jars[[#This Row],[Jar Type]], Containers!A:A, Containers!C:C), "General"))</f>
        <v>1892.7</v>
      </c>
      <c r="F14" s="19" t="s">
        <v>179</v>
      </c>
      <c r="G14" s="19" t="s">
        <v>368</v>
      </c>
      <c r="H14" s="20" t="str" cm="1">
        <f t="array" ref="H1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4" s="20" t="str" cm="1">
        <f t="array" ref="I1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4" t="s">
        <v>155</v>
      </c>
      <c r="K14" s="17" t="str" cm="1">
        <f t="array" ref="K14">IF(Jars[[#This Row],[Jar]]="", "", IFERROR(_xlfn.XLOOKUP(1, (JarsPlusPlus_1[Jar]=Jars[[#This Row],[Jar]])*(JarsPlusPlus_1[Date Added]=Jars[[#This Row],[Date Made]]), JarsPlusPlus_1[Final pH]), "Unknown"))</f>
        <v>5.75</v>
      </c>
      <c r="L14" s="17" t="str" cm="1">
        <f t="array" ref="L14">IF(Jars[[#This Row],[Jar]]="", "", IFERROR(_xlfn.XLOOKUP(1, (JarsPlusPlus_1[Jar]=Jars[[#This Row],[Jar]])*(JarsPlusPlus_1[Date Added]=Jars[[#This Row],[Date Made]]), JarsPlusPlus_1[Final EC (μS/cm)]), "Unknown"))</f>
        <v>1045</v>
      </c>
      <c r="M1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4" s="1" t="s">
        <v>387</v>
      </c>
      <c r="O14" s="1" t="s">
        <v>178</v>
      </c>
      <c r="P14" s="17" t="s">
        <v>14</v>
      </c>
      <c r="Q14" s="17">
        <f ca="1">IF(Jars[[#This Row],[Jar]]="", "", IFERROR(SUM(_xlfn.XLOOKUP(Jars[[#This Row],[Jar]], JarsPlusPlus_4[Jar], JarsPlusPlus_4[C:Total Water Added (mL)])), "Unknown"))</f>
        <v>1700</v>
      </c>
      <c r="R14" s="17" t="s">
        <v>377</v>
      </c>
      <c r="S14" s="17" t="s">
        <v>378</v>
      </c>
      <c r="T14" s="20"/>
    </row>
    <row r="15" spans="1:20">
      <c r="A15" t="s">
        <v>326</v>
      </c>
      <c r="B15" s="19" t="s">
        <v>175</v>
      </c>
      <c r="C15" s="17" t="s">
        <v>393</v>
      </c>
      <c r="D15" s="20" t="s">
        <v>367</v>
      </c>
      <c r="E15" s="21" t="str">
        <f>IF(Jars[[#This Row],[Jar Type]]="", "", TEXT(_xlfn.XLOOKUP(Jars[[#This Row],[Jar Type]], Containers!A:A, Containers!C:C), "General"))</f>
        <v>1892.7</v>
      </c>
      <c r="F15" s="19" t="s">
        <v>179</v>
      </c>
      <c r="G15" s="19" t="s">
        <v>394</v>
      </c>
      <c r="H15" s="20" t="str" cm="1">
        <f t="array" ref="H1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5" s="20" t="str" cm="1">
        <f t="array" ref="I1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5" t="s">
        <v>155</v>
      </c>
      <c r="K15" s="17" t="str" cm="1">
        <f t="array" ref="K15">IF(Jars[[#This Row],[Jar]]="", "", IFERROR(_xlfn.XLOOKUP(1, (JarsPlusPlus_1[Jar]=Jars[[#This Row],[Jar]])*(JarsPlusPlus_1[Date Added]=Jars[[#This Row],[Date Made]]), JarsPlusPlus_1[Final pH]), "Unknown"))</f>
        <v>5.75</v>
      </c>
      <c r="L15" s="17" t="str" cm="1">
        <f t="array" ref="L15">IF(Jars[[#This Row],[Jar]]="", "", IFERROR(_xlfn.XLOOKUP(1, (JarsPlusPlus_1[Jar]=Jars[[#This Row],[Jar]])*(JarsPlusPlus_1[Date Added]=Jars[[#This Row],[Date Made]]), JarsPlusPlus_1[Final EC (μS/cm)]), "Unknown"))</f>
        <v>937</v>
      </c>
      <c r="M15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5" s="1" t="s">
        <v>385</v>
      </c>
      <c r="O15" s="2" t="s">
        <v>397</v>
      </c>
      <c r="P15" s="17" t="s">
        <v>14</v>
      </c>
      <c r="Q15" s="17">
        <f ca="1">IF(Jars[[#This Row],[Jar]]="", "", IFERROR(SUM(_xlfn.XLOOKUP(Jars[[#This Row],[Jar]], JarsPlusPlus_4[Jar], JarsPlusPlus_4[C:Total Water Added (mL)])), "Unknown"))</f>
        <v>1700</v>
      </c>
      <c r="R15" s="17" t="s">
        <v>377</v>
      </c>
      <c r="S15" s="17" t="s">
        <v>378</v>
      </c>
    </row>
    <row r="16" spans="1:20">
      <c r="A16" t="s">
        <v>398</v>
      </c>
      <c r="B16" s="19" t="s">
        <v>175</v>
      </c>
      <c r="C16" s="17" t="s">
        <v>399</v>
      </c>
      <c r="D16" s="20" t="s">
        <v>367</v>
      </c>
      <c r="E16" s="21" t="str">
        <f>IF(Jars[[#This Row],[Jar Type]]="", "", TEXT(_xlfn.XLOOKUP(Jars[[#This Row],[Jar Type]], Containers!A:A, Containers!C:C), "General"))</f>
        <v>1892.7</v>
      </c>
      <c r="F16" s="19" t="s">
        <v>179</v>
      </c>
      <c r="G16" s="19" t="s">
        <v>400</v>
      </c>
      <c r="H16" s="20" t="str" cm="1">
        <f t="array" ref="H1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6" s="20" t="str" cm="1">
        <f t="array" ref="I1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6" t="s">
        <v>155</v>
      </c>
      <c r="K16" s="17" t="str" cm="1">
        <f t="array" ref="K16">IF(Jars[[#This Row],[Jar]]="", "", IFERROR(_xlfn.XLOOKUP(1, (JarsPlusPlus_1[Jar]=Jars[[#This Row],[Jar]])*(JarsPlusPlus_1[Date Added]=Jars[[#This Row],[Date Made]]), JarsPlusPlus_1[Final pH]), "Unknown"))</f>
        <v>5.25</v>
      </c>
      <c r="L16" s="17" t="str" cm="1">
        <f t="array" ref="L16">IF(Jars[[#This Row],[Jar]]="", "", IFERROR(_xlfn.XLOOKUP(1, (JarsPlusPlus_1[Jar]=Jars[[#This Row],[Jar]])*(JarsPlusPlus_1[Date Added]=Jars[[#This Row],[Date Made]]), JarsPlusPlus_1[Final EC (μS/cm)]), "Unknown"))</f>
        <v>941</v>
      </c>
      <c r="M16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6" s="1" t="s">
        <v>375</v>
      </c>
      <c r="O16" s="2" t="s">
        <v>403</v>
      </c>
      <c r="P16" s="17" t="s">
        <v>14</v>
      </c>
      <c r="Q16" s="17">
        <f ca="1">IF(Jars[[#This Row],[Jar]]="", "", IFERROR(SUM(_xlfn.XLOOKUP(Jars[[#This Row],[Jar]], JarsPlusPlus_4[Jar], JarsPlusPlus_4[C:Total Water Added (mL)])), "Unknown"))</f>
        <v>1750</v>
      </c>
      <c r="R16" s="17" t="s">
        <v>377</v>
      </c>
      <c r="S16" s="17" t="s">
        <v>378</v>
      </c>
      <c r="T16" s="20"/>
    </row>
    <row r="17" spans="1:20">
      <c r="A17" t="s">
        <v>404</v>
      </c>
      <c r="B17" s="19" t="s">
        <v>175</v>
      </c>
      <c r="C17" s="17" t="s">
        <v>405</v>
      </c>
      <c r="D17" s="20" t="s">
        <v>367</v>
      </c>
      <c r="E17" s="21" t="str">
        <f>IF(Jars[[#This Row],[Jar Type]]="", "", TEXT(_xlfn.XLOOKUP(Jars[[#This Row],[Jar Type]], Containers!A:A, Containers!C:C), "General"))</f>
        <v>1892.7</v>
      </c>
      <c r="F17" s="19" t="s">
        <v>179</v>
      </c>
      <c r="G17" s="19" t="s">
        <v>400</v>
      </c>
      <c r="H17" s="20" t="str" cm="1">
        <f t="array" ref="H1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7" s="20" t="str" cm="1">
        <f t="array" ref="I1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7" t="s">
        <v>155</v>
      </c>
      <c r="K17" s="19" t="str" cm="1">
        <f t="array" ref="K17">IF(Jars[[#This Row],[Jar]]="", "", IFERROR(_xlfn.XLOOKUP(1, (JarsPlusPlus_1[Jar]=Jars[[#This Row],[Jar]])*(JarsPlusPlus_1[Date Added]=Jars[[#This Row],[Date Made]]), JarsPlusPlus_1[Final pH]), "Unknown"))</f>
        <v>5.75</v>
      </c>
      <c r="L17" s="17" t="str" cm="1">
        <f t="array" ref="L17">IF(Jars[[#This Row],[Jar]]="", "", IFERROR(_xlfn.XLOOKUP(1, (JarsPlusPlus_1[Jar]=Jars[[#This Row],[Jar]])*(JarsPlusPlus_1[Date Added]=Jars[[#This Row],[Date Made]]), JarsPlusPlus_1[Final EC (μS/cm)]), "Unknown"))</f>
        <v>1017</v>
      </c>
      <c r="M17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7" s="1" t="s">
        <v>375</v>
      </c>
      <c r="O17" s="2" t="s">
        <v>408</v>
      </c>
      <c r="P17" s="17" t="s">
        <v>14</v>
      </c>
      <c r="Q17" s="17">
        <f ca="1">IF(Jars[[#This Row],[Jar]]="", "", IFERROR(SUM(_xlfn.XLOOKUP(Jars[[#This Row],[Jar]], JarsPlusPlus_4[Jar], JarsPlusPlus_4[C:Total Water Added (mL)])), "Unknown"))</f>
        <v>1750</v>
      </c>
      <c r="R17" s="17" t="s">
        <v>377</v>
      </c>
      <c r="S17" s="17" t="s">
        <v>378</v>
      </c>
      <c r="T17" s="20"/>
    </row>
    <row r="18" spans="1:20">
      <c r="A18" t="s">
        <v>409</v>
      </c>
      <c r="B18" s="19" t="s">
        <v>175</v>
      </c>
      <c r="C18" s="17" t="s">
        <v>410</v>
      </c>
      <c r="D18" s="20" t="s">
        <v>367</v>
      </c>
      <c r="E18" s="21" t="str">
        <f>IF(Jars[[#This Row],[Jar Type]]="", "", TEXT(_xlfn.XLOOKUP(Jars[[#This Row],[Jar Type]], Containers!A:A, Containers!C:C), "General"))</f>
        <v>1892.7</v>
      </c>
      <c r="F18" s="19" t="s">
        <v>179</v>
      </c>
      <c r="G18" s="19" t="s">
        <v>400</v>
      </c>
      <c r="H18" s="20" t="str" cm="1">
        <f t="array" ref="H1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18" s="20" t="str" cm="1">
        <f t="array" ref="I1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8" t="s">
        <v>155</v>
      </c>
      <c r="K18" s="17" t="str" cm="1">
        <f t="array" ref="K18">IF(Jars[[#This Row],[Jar]]="", "", IFERROR(_xlfn.XLOOKUP(1, (JarsPlusPlus_1[Jar]=Jars[[#This Row],[Jar]])*(JarsPlusPlus_1[Date Added]=Jars[[#This Row],[Date Made]]), JarsPlusPlus_1[Final pH]), "Unknown"))</f>
        <v>5.75</v>
      </c>
      <c r="L18" s="17" t="str" cm="1">
        <f t="array" ref="L18">IF(Jars[[#This Row],[Jar]]="", "", IFERROR(_xlfn.XLOOKUP(1, (JarsPlusPlus_1[Jar]=Jars[[#This Row],[Jar]])*(JarsPlusPlus_1[Date Added]=Jars[[#This Row],[Date Made]]), JarsPlusPlus_1[Final EC (μS/cm)]), "Unknown"))</f>
        <v>968</v>
      </c>
      <c r="M18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8" s="1" t="s">
        <v>375</v>
      </c>
      <c r="O18" s="2" t="s">
        <v>413</v>
      </c>
      <c r="P18" s="17" t="s">
        <v>14</v>
      </c>
      <c r="Q18" s="17">
        <f ca="1">IF(Jars[[#This Row],[Jar]]="", "", IFERROR(SUM(_xlfn.XLOOKUP(Jars[[#This Row],[Jar]], JarsPlusPlus_4[Jar], JarsPlusPlus_4[C:Total Water Added (mL)])), "Unknown"))</f>
        <v>1750</v>
      </c>
      <c r="R18" s="17" t="s">
        <v>377</v>
      </c>
      <c r="S18" s="17" t="s">
        <v>378</v>
      </c>
      <c r="T18" s="20"/>
    </row>
    <row r="19" spans="1:20">
      <c r="A19" t="s">
        <v>414</v>
      </c>
      <c r="B19" s="19" t="s">
        <v>175</v>
      </c>
      <c r="C19" s="17" t="s">
        <v>415</v>
      </c>
      <c r="D19" s="20" t="s">
        <v>367</v>
      </c>
      <c r="E19" s="21" t="str">
        <f>IF(Jars[[#This Row],[Jar Type]]="", "", TEXT(_xlfn.XLOOKUP(Jars[[#This Row],[Jar Type]], Containers!A:A, Containers!C:C), "General"))</f>
        <v>1892.7</v>
      </c>
      <c r="F19" s="19" t="s">
        <v>179</v>
      </c>
      <c r="G19" s="19" t="s">
        <v>400</v>
      </c>
      <c r="H19" s="20" t="str" cm="1">
        <f t="array" aca="1" ref="H19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19" s="20" t="str" cm="1">
        <f t="array" ref="I1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19" t="s">
        <v>155</v>
      </c>
      <c r="K19" s="17" t="str" cm="1">
        <f t="array" ref="K19">IF(Jars[[#This Row],[Jar]]="", "", IFERROR(_xlfn.XLOOKUP(1, (JarsPlusPlus_1[Jar]=Jars[[#This Row],[Jar]])*(JarsPlusPlus_1[Date Added]=Jars[[#This Row],[Date Made]]), JarsPlusPlus_1[Final pH]), "Unknown"))</f>
        <v>6.50</v>
      </c>
      <c r="L19" s="17" t="str" cm="1">
        <f t="array" ref="L19">IF(Jars[[#This Row],[Jar]]="", "", IFERROR(_xlfn.XLOOKUP(1, (JarsPlusPlus_1[Jar]=Jars[[#This Row],[Jar]])*(JarsPlusPlus_1[Date Added]=Jars[[#This Row],[Date Made]]), JarsPlusPlus_1[Final EC (μS/cm)]), "Unknown"))</f>
        <v>1114</v>
      </c>
      <c r="M19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19" s="1" t="s">
        <v>418</v>
      </c>
      <c r="O19" s="2" t="s">
        <v>419</v>
      </c>
      <c r="P19" s="19" t="s">
        <v>153</v>
      </c>
      <c r="Q19" s="17">
        <f ca="1">IF(Jars[[#This Row],[Jar]]="", "", IFERROR(SUM(_xlfn.XLOOKUP(Jars[[#This Row],[Jar]], JarsPlusPlus_4[Jar], JarsPlusPlus_4[C:Total Water Added (mL)])), "Unknown"))</f>
        <v>1750</v>
      </c>
      <c r="R19" s="17" t="s">
        <v>377</v>
      </c>
      <c r="S19" s="17" t="s">
        <v>378</v>
      </c>
      <c r="T19" s="17" t="s">
        <v>420</v>
      </c>
    </row>
    <row r="20" spans="1:20">
      <c r="A20" t="s">
        <v>327</v>
      </c>
      <c r="B20" s="19" t="s">
        <v>175</v>
      </c>
      <c r="C20" s="17" t="s">
        <v>421</v>
      </c>
      <c r="D20" s="20" t="s">
        <v>367</v>
      </c>
      <c r="E20" s="21" t="str">
        <f>IF(Jars[[#This Row],[Jar Type]]="", "", TEXT(_xlfn.XLOOKUP(Jars[[#This Row],[Jar Type]], Containers!A:A, Containers!C:C), "General"))</f>
        <v>1892.7</v>
      </c>
      <c r="F20" s="19" t="s">
        <v>179</v>
      </c>
      <c r="G20" s="19" t="s">
        <v>422</v>
      </c>
      <c r="H20" s="20" t="str" cm="1">
        <f t="array" ref="H2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0" s="20" t="str" cm="1">
        <f t="array" ref="I2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0" t="s">
        <v>155</v>
      </c>
      <c r="K20" s="17" t="str" cm="1">
        <f t="array" ref="K20">IF(Jars[[#This Row],[Jar]]="", "", IFERROR(_xlfn.XLOOKUP(1, (JarsPlusPlus_1[Jar]=Jars[[#This Row],[Jar]])*(JarsPlusPlus_1[Date Added]=Jars[[#This Row],[Date Made]]), JarsPlusPlus_1[Final pH]), "Unknown"))</f>
        <v>6.00</v>
      </c>
      <c r="L20" s="17" t="str" cm="1">
        <f t="array" ref="L20">IF(Jars[[#This Row],[Jar]]="", "", IFERROR(_xlfn.XLOOKUP(1, (JarsPlusPlus_1[Jar]=Jars[[#This Row],[Jar]])*(JarsPlusPlus_1[Date Added]=Jars[[#This Row],[Date Made]]), JarsPlusPlus_1[Final EC (μS/cm)]), "Unknown"))</f>
        <v>1050</v>
      </c>
      <c r="M20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0" s="1" t="s">
        <v>14</v>
      </c>
      <c r="O20" s="3" t="s">
        <v>14</v>
      </c>
      <c r="P20" s="17" t="s">
        <v>14</v>
      </c>
      <c r="Q20" s="17">
        <f ca="1">IF(Jars[[#This Row],[Jar]]="", "", IFERROR(SUM(_xlfn.XLOOKUP(Jars[[#This Row],[Jar]], JarsPlusPlus_4[Jar], JarsPlusPlus_4[C:Total Water Added (mL)])), "Unknown"))</f>
        <v>1700</v>
      </c>
      <c r="R20" s="17" t="s">
        <v>377</v>
      </c>
      <c r="S20" s="17" t="s">
        <v>378</v>
      </c>
    </row>
    <row r="21" spans="1:20">
      <c r="A21" t="s">
        <v>424</v>
      </c>
      <c r="B21" s="19" t="s">
        <v>175</v>
      </c>
      <c r="C21" s="17" t="s">
        <v>425</v>
      </c>
      <c r="D21" s="20" t="s">
        <v>367</v>
      </c>
      <c r="E21" s="21" t="str">
        <f>IF(Jars[[#This Row],[Jar Type]]="", "", TEXT(_xlfn.XLOOKUP(Jars[[#This Row],[Jar Type]], Containers!A:A, Containers!C:C), "General"))</f>
        <v>1892.7</v>
      </c>
      <c r="F21" s="19" t="s">
        <v>179</v>
      </c>
      <c r="G21" s="19" t="s">
        <v>422</v>
      </c>
      <c r="H21" s="20" t="str" cm="1">
        <f t="array" ref="H2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1" s="20" t="str" cm="1">
        <f t="array" ref="I2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1" t="s">
        <v>155</v>
      </c>
      <c r="K21" s="17" t="str" cm="1">
        <f t="array" ref="K21">IF(Jars[[#This Row],[Jar]]="", "", IFERROR(_xlfn.XLOOKUP(1, (JarsPlusPlus_1[Jar]=Jars[[#This Row],[Jar]])*(JarsPlusPlus_1[Date Added]=Jars[[#This Row],[Date Made]]), JarsPlusPlus_1[Final pH]), "Unknown"))</f>
        <v>6.50</v>
      </c>
      <c r="L21" s="17" t="str" cm="1">
        <f t="array" ref="L21">IF(Jars[[#This Row],[Jar]]="", "", IFERROR(_xlfn.XLOOKUP(1, (JarsPlusPlus_1[Jar]=Jars[[#This Row],[Jar]])*(JarsPlusPlus_1[Date Added]=Jars[[#This Row],[Date Made]]), JarsPlusPlus_1[Final EC (μS/cm)]), "Unknown"))</f>
        <v>1043</v>
      </c>
      <c r="M21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1" s="1" t="s">
        <v>375</v>
      </c>
      <c r="O21" s="2" t="s">
        <v>427</v>
      </c>
      <c r="P21" s="17" t="s">
        <v>14</v>
      </c>
      <c r="Q21" s="17">
        <f ca="1">IF(Jars[[#This Row],[Jar]]="", "", IFERROR(SUM(_xlfn.XLOOKUP(Jars[[#This Row],[Jar]], JarsPlusPlus_4[Jar], JarsPlusPlus_4[C:Total Water Added (mL)])), "Unknown"))</f>
        <v>1700</v>
      </c>
      <c r="R21" s="17" t="s">
        <v>377</v>
      </c>
      <c r="S21" s="17" t="s">
        <v>378</v>
      </c>
      <c r="T21" s="20"/>
    </row>
    <row r="22" spans="1:20">
      <c r="A22" t="s">
        <v>428</v>
      </c>
      <c r="B22" s="19" t="s">
        <v>175</v>
      </c>
      <c r="C22" s="17" t="s">
        <v>429</v>
      </c>
      <c r="D22" s="20" t="s">
        <v>367</v>
      </c>
      <c r="E22" s="21" t="str">
        <f>IF(Jars[[#This Row],[Jar Type]]="", "", TEXT(_xlfn.XLOOKUP(Jars[[#This Row],[Jar Type]], Containers!A:A, Containers!C:C), "General"))</f>
        <v>1892.7</v>
      </c>
      <c r="F22" s="19" t="s">
        <v>179</v>
      </c>
      <c r="G22" s="19" t="s">
        <v>422</v>
      </c>
      <c r="H22" s="20" t="str" cm="1">
        <f t="array" ref="H2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2" s="20" t="str" cm="1">
        <f t="array" ref="I2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2" t="s">
        <v>155</v>
      </c>
      <c r="K22" s="17" t="str" cm="1">
        <f t="array" ref="K22">IF(Jars[[#This Row],[Jar]]="", "", IFERROR(_xlfn.XLOOKUP(1, (JarsPlusPlus_1[Jar]=Jars[[#This Row],[Jar]])*(JarsPlusPlus_1[Date Added]=Jars[[#This Row],[Date Made]]), JarsPlusPlus_1[Final pH]), "Unknown"))</f>
        <v>6.00</v>
      </c>
      <c r="L22" s="17" t="str" cm="1">
        <f t="array" ref="L22">IF(Jars[[#This Row],[Jar]]="", "", IFERROR(_xlfn.XLOOKUP(1, (JarsPlusPlus_1[Jar]=Jars[[#This Row],[Jar]])*(JarsPlusPlus_1[Date Added]=Jars[[#This Row],[Date Made]]), JarsPlusPlus_1[Final EC (μS/cm)]), "Unknown"))</f>
        <v>1066</v>
      </c>
      <c r="M22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2" s="3" t="s">
        <v>14</v>
      </c>
      <c r="O22" s="3" t="s">
        <v>14</v>
      </c>
      <c r="P22" s="17" t="s">
        <v>14</v>
      </c>
      <c r="Q22" s="17">
        <f ca="1">IF(Jars[[#This Row],[Jar]]="", "", IFERROR(SUM(_xlfn.XLOOKUP(Jars[[#This Row],[Jar]], JarsPlusPlus_4[Jar], JarsPlusPlus_4[C:Total Water Added (mL)])), "Unknown"))</f>
        <v>1700</v>
      </c>
      <c r="R22" s="17" t="s">
        <v>377</v>
      </c>
      <c r="S22" s="17" t="s">
        <v>378</v>
      </c>
    </row>
    <row r="23" spans="1:20">
      <c r="A23" t="s">
        <v>432</v>
      </c>
      <c r="B23" s="19" t="s">
        <v>175</v>
      </c>
      <c r="C23" s="17" t="s">
        <v>433</v>
      </c>
      <c r="D23" s="20" t="s">
        <v>367</v>
      </c>
      <c r="E23" s="21" t="str">
        <f>IF(Jars[[#This Row],[Jar Type]]="", "", TEXT(_xlfn.XLOOKUP(Jars[[#This Row],[Jar Type]], Containers!A:A, Containers!C:C), "General"))</f>
        <v>1892.7</v>
      </c>
      <c r="F23" s="19" t="s">
        <v>179</v>
      </c>
      <c r="G23" s="19" t="s">
        <v>422</v>
      </c>
      <c r="H23" s="20" t="str" cm="1">
        <f t="array" ref="H2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3" s="20" t="str" cm="1">
        <f t="array" ref="I2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3" t="s">
        <v>155</v>
      </c>
      <c r="K23" s="17" t="str" cm="1">
        <f t="array" ref="K23">IF(Jars[[#This Row],[Jar]]="", "", IFERROR(_xlfn.XLOOKUP(1, (JarsPlusPlus_1[Jar]=Jars[[#This Row],[Jar]])*(JarsPlusPlus_1[Date Added]=Jars[[#This Row],[Date Made]]), JarsPlusPlus_1[Final pH]), "Unknown"))</f>
        <v>6.00</v>
      </c>
      <c r="L23" s="17" t="str" cm="1">
        <f t="array" ref="L23">IF(Jars[[#This Row],[Jar]]="", "", IFERROR(_xlfn.XLOOKUP(1, (JarsPlusPlus_1[Jar]=Jars[[#This Row],[Jar]])*(JarsPlusPlus_1[Date Added]=Jars[[#This Row],[Date Made]]), JarsPlusPlus_1[Final EC (μS/cm)]), "Unknown"))</f>
        <v>1290</v>
      </c>
      <c r="M2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3" s="1" t="s">
        <v>375</v>
      </c>
      <c r="O23" s="2" t="s">
        <v>436</v>
      </c>
      <c r="P23" s="17" t="s">
        <v>14</v>
      </c>
      <c r="Q23" s="17">
        <f ca="1">IF(Jars[[#This Row],[Jar]]="", "", IFERROR(SUM(_xlfn.XLOOKUP(Jars[[#This Row],[Jar]], JarsPlusPlus_4[Jar], JarsPlusPlus_4[C:Total Water Added (mL)])), "Unknown"))</f>
        <v>1700</v>
      </c>
      <c r="R23" s="17" t="s">
        <v>377</v>
      </c>
      <c r="S23" s="17" t="s">
        <v>378</v>
      </c>
      <c r="T23" s="20"/>
    </row>
    <row r="24" spans="1:20">
      <c r="A24" t="s">
        <v>437</v>
      </c>
      <c r="B24" s="19" t="s">
        <v>175</v>
      </c>
      <c r="C24" s="17" t="s">
        <v>438</v>
      </c>
      <c r="D24" s="20" t="s">
        <v>367</v>
      </c>
      <c r="E24" s="21" t="str">
        <f>IF(Jars[[#This Row],[Jar Type]]="", "", TEXT(_xlfn.XLOOKUP(Jars[[#This Row],[Jar Type]], Containers!A:A, Containers!C:C), "General"))</f>
        <v>1892.7</v>
      </c>
      <c r="F24" s="19" t="s">
        <v>179</v>
      </c>
      <c r="G24" s="19" t="s">
        <v>439</v>
      </c>
      <c r="H24" s="20" t="str" cm="1">
        <f t="array" ref="H2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4" s="20" t="str" cm="1">
        <f t="array" ref="I2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4" t="s">
        <v>155</v>
      </c>
      <c r="K24" s="17" t="str" cm="1">
        <f t="array" ref="K24">IF(Jars[[#This Row],[Jar]]="", "", IFERROR(_xlfn.XLOOKUP(1, (JarsPlusPlus_1[Jar]=Jars[[#This Row],[Jar]])*(JarsPlusPlus_1[Date Added]=Jars[[#This Row],[Date Made]]), JarsPlusPlus_1[Final pH]), "Unknown"))</f>
        <v>6.00</v>
      </c>
      <c r="L24" s="17" t="str" cm="1">
        <f t="array" ref="L24">IF(Jars[[#This Row],[Jar]]="", "", IFERROR(_xlfn.XLOOKUP(1, (JarsPlusPlus_1[Jar]=Jars[[#This Row],[Jar]])*(JarsPlusPlus_1[Date Added]=Jars[[#This Row],[Date Made]]), JarsPlusPlus_1[Final EC (μS/cm)]), "Unknown"))</f>
        <v>Skipped</v>
      </c>
      <c r="M2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4" s="1" t="s">
        <v>418</v>
      </c>
      <c r="O24" s="2" t="s">
        <v>441</v>
      </c>
      <c r="P24" s="17" t="s">
        <v>14</v>
      </c>
      <c r="Q24" s="17">
        <f ca="1">IF(Jars[[#This Row],[Jar]]="", "", IFERROR(SUM(_xlfn.XLOOKUP(Jars[[#This Row],[Jar]], JarsPlusPlus_4[Jar], JarsPlusPlus_4[C:Total Water Added (mL)])), "Unknown"))</f>
        <v>1700</v>
      </c>
      <c r="R24" s="17" t="s">
        <v>377</v>
      </c>
      <c r="S24" s="17" t="s">
        <v>378</v>
      </c>
      <c r="T24" s="20"/>
    </row>
    <row r="25" spans="1:20">
      <c r="A25" t="s">
        <v>442</v>
      </c>
      <c r="B25" s="19" t="s">
        <v>175</v>
      </c>
      <c r="C25" s="17" t="s">
        <v>443</v>
      </c>
      <c r="D25" s="20" t="s">
        <v>367</v>
      </c>
      <c r="E25" s="21" t="str">
        <f>IF(Jars[[#This Row],[Jar Type]]="", "", TEXT(_xlfn.XLOOKUP(Jars[[#This Row],[Jar Type]], Containers!A:A, Containers!C:C), "General"))</f>
        <v>1892.7</v>
      </c>
      <c r="F25" s="19" t="s">
        <v>179</v>
      </c>
      <c r="G25" s="19" t="s">
        <v>439</v>
      </c>
      <c r="H25" s="20" t="str" cm="1">
        <f t="array" aca="1" ref="H25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5" s="20" t="str" cm="1">
        <f t="array" ref="I2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5" t="s">
        <v>155</v>
      </c>
      <c r="K25" s="17" t="str" cm="1">
        <f t="array" ref="K25">IF(Jars[[#This Row],[Jar]]="", "", IFERROR(_xlfn.XLOOKUP(1, (JarsPlusPlus_1[Jar]=Jars[[#This Row],[Jar]])*(JarsPlusPlus_1[Date Added]=Jars[[#This Row],[Date Made]]), JarsPlusPlus_1[Final pH]), "Unknown"))</f>
        <v>5.75</v>
      </c>
      <c r="L25" s="20" t="str" cm="1">
        <f t="array" ref="L25">IF(Jars[[#This Row],[Jar]]="", "", IFERROR(_xlfn.XLOOKUP(1, (JarsPlusPlus_1[Jar]=Jars[[#This Row],[Jar]])*(JarsPlusPlus_1[Date Added]=Jars[[#This Row],[Date Made]]), JarsPlusPlus_1[Final EC (μS/cm)]), "Unknown"))</f>
        <v>Skipped</v>
      </c>
      <c r="M25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5" s="1" t="s">
        <v>444</v>
      </c>
      <c r="O25" s="2" t="s">
        <v>445</v>
      </c>
      <c r="P25" s="19" t="s">
        <v>153</v>
      </c>
      <c r="Q25" s="17">
        <f ca="1">IF(Jars[[#This Row],[Jar]]="", "", IFERROR(SUM(_xlfn.XLOOKUP(Jars[[#This Row],[Jar]], JarsPlusPlus_4[Jar], JarsPlusPlus_4[C:Total Water Added (mL)])), "Unknown"))</f>
        <v>1700</v>
      </c>
      <c r="R25" s="17" t="s">
        <v>377</v>
      </c>
      <c r="S25" s="17" t="s">
        <v>378</v>
      </c>
      <c r="T25" s="17" t="s">
        <v>420</v>
      </c>
    </row>
    <row r="26" spans="1:20">
      <c r="A26" t="s">
        <v>446</v>
      </c>
      <c r="B26" s="19" t="s">
        <v>175</v>
      </c>
      <c r="C26" s="17" t="s">
        <v>447</v>
      </c>
      <c r="D26" s="20" t="s">
        <v>367</v>
      </c>
      <c r="E26" s="21" t="str">
        <f>IF(Jars[[#This Row],[Jar Type]]="", "", TEXT(_xlfn.XLOOKUP(Jars[[#This Row],[Jar Type]], Containers!A:A, Containers!C:C), "General"))</f>
        <v>1892.7</v>
      </c>
      <c r="F26" s="19" t="s">
        <v>179</v>
      </c>
      <c r="G26" s="19" t="s">
        <v>439</v>
      </c>
      <c r="H26" s="20" t="str" cm="1">
        <f t="array" aca="1" ref="H26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6" s="20" t="str" cm="1">
        <f t="array" ref="I2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6" t="s">
        <v>155</v>
      </c>
      <c r="K26" s="17" t="str" cm="1">
        <f t="array" ref="K26">IF(Jars[[#This Row],[Jar]]="", "", IFERROR(_xlfn.XLOOKUP(1, (JarsPlusPlus_1[Jar]=Jars[[#This Row],[Jar]])*(JarsPlusPlus_1[Date Added]=Jars[[#This Row],[Date Made]]), JarsPlusPlus_1[Final pH]), "Unknown"))</f>
        <v>6.00</v>
      </c>
      <c r="L26" s="20" t="str" cm="1">
        <f t="array" ref="L26">IF(Jars[[#This Row],[Jar]]="", "", IFERROR(_xlfn.XLOOKUP(1, (JarsPlusPlus_1[Jar]=Jars[[#This Row],[Jar]])*(JarsPlusPlus_1[Date Added]=Jars[[#This Row],[Date Made]]), JarsPlusPlus_1[Final EC (μS/cm)]), "Unknown"))</f>
        <v>Skipped</v>
      </c>
      <c r="M26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6" s="1" t="s">
        <v>387</v>
      </c>
      <c r="O26" s="2" t="s">
        <v>449</v>
      </c>
      <c r="P26" s="19" t="s">
        <v>153</v>
      </c>
      <c r="Q26" s="17">
        <f ca="1">IF(Jars[[#This Row],[Jar]]="", "", IFERROR(SUM(_xlfn.XLOOKUP(Jars[[#This Row],[Jar]], JarsPlusPlus_4[Jar], JarsPlusPlus_4[C:Total Water Added (mL)])), "Unknown"))</f>
        <v>1700</v>
      </c>
      <c r="R26" s="17" t="s">
        <v>377</v>
      </c>
      <c r="S26" s="17" t="s">
        <v>378</v>
      </c>
      <c r="T26" s="17" t="s">
        <v>420</v>
      </c>
    </row>
    <row r="27" spans="1:20">
      <c r="A27" t="s">
        <v>450</v>
      </c>
      <c r="B27" s="19" t="s">
        <v>175</v>
      </c>
      <c r="C27" s="17" t="s">
        <v>451</v>
      </c>
      <c r="D27" s="20" t="s">
        <v>367</v>
      </c>
      <c r="E27" s="21" t="str">
        <f>IF(Jars[[#This Row],[Jar Type]]="", "", TEXT(_xlfn.XLOOKUP(Jars[[#This Row],[Jar Type]], Containers!A:A, Containers!C:C), "General"))</f>
        <v>1892.7</v>
      </c>
      <c r="F27" s="19" t="s">
        <v>179</v>
      </c>
      <c r="G27" s="19" t="s">
        <v>439</v>
      </c>
      <c r="H27" s="20" t="str" cm="1">
        <f t="array" aca="1" ref="H27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1700</v>
      </c>
      <c r="I27" s="20" t="str" cm="1">
        <f t="array" ref="I2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7" t="s">
        <v>155</v>
      </c>
      <c r="K27" s="17" t="str" cm="1">
        <f t="array" ref="K27">IF(Jars[[#This Row],[Jar]]="", "", IFERROR(_xlfn.XLOOKUP(1, (JarsPlusPlus_1[Jar]=Jars[[#This Row],[Jar]])*(JarsPlusPlus_1[Date Added]=Jars[[#This Row],[Date Made]]), JarsPlusPlus_1[Final pH]), "Unknown"))</f>
        <v>5.50</v>
      </c>
      <c r="L27" s="20" t="str" cm="1">
        <f t="array" ref="L27">IF(Jars[[#This Row],[Jar]]="", "", IFERROR(_xlfn.XLOOKUP(1, (JarsPlusPlus_1[Jar]=Jars[[#This Row],[Jar]])*(JarsPlusPlus_1[Date Added]=Jars[[#This Row],[Date Made]]), JarsPlusPlus_1[Final EC (μS/cm)]), "Unknown"))</f>
        <v>Skipped</v>
      </c>
      <c r="M27" s="20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27" s="1" t="s">
        <v>387</v>
      </c>
      <c r="O27" s="2" t="s">
        <v>454</v>
      </c>
      <c r="P27" s="19" t="s">
        <v>153</v>
      </c>
      <c r="Q27" s="17">
        <f ca="1">IF(Jars[[#This Row],[Jar]]="", "", IFERROR(SUM(_xlfn.XLOOKUP(Jars[[#This Row],[Jar]], JarsPlusPlus_4[Jar], JarsPlusPlus_4[C:Total Water Added (mL)])), "Unknown"))</f>
        <v>1700</v>
      </c>
      <c r="R27" s="17" t="s">
        <v>377</v>
      </c>
      <c r="S27" s="17" t="s">
        <v>378</v>
      </c>
      <c r="T27" s="17" t="s">
        <v>455</v>
      </c>
    </row>
    <row r="28" spans="1:20">
      <c r="A28" t="s">
        <v>456</v>
      </c>
      <c r="B28" s="19" t="s">
        <v>175</v>
      </c>
      <c r="C28" s="17" t="s">
        <v>457</v>
      </c>
      <c r="D28" s="20" t="s">
        <v>458</v>
      </c>
      <c r="E28" s="21" t="str">
        <f>IF(Jars[[#This Row],[Jar Type]]="", "", TEXT(_xlfn.XLOOKUP(Jars[[#This Row],[Jar Type]], Containers!A:A, Containers!C:C), "General"))</f>
        <v>1892.7</v>
      </c>
      <c r="F28" s="19" t="s">
        <v>153</v>
      </c>
      <c r="G28" s="19" t="s">
        <v>459</v>
      </c>
      <c r="H28" s="20" t="str" cm="1">
        <f t="array" ref="H2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8" s="20" t="str" cm="1">
        <f t="array" ref="I2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8" t="s">
        <v>155</v>
      </c>
      <c r="K28" s="19" t="str" cm="1">
        <f t="array" ref="K28">IF(Jars[[#This Row],[Jar]]="", "", IFERROR(_xlfn.XLOOKUP(1, (JarsPlusPlus_1[Jar]=Jars[[#This Row],[Jar]])*(JarsPlusPlus_1[Date Added]=Jars[[#This Row],[Date Made]]), JarsPlusPlus_1[Final pH]), "Unknown"))</f>
        <v>5.50</v>
      </c>
      <c r="L28" s="19" t="str" cm="1">
        <f t="array" ref="L28">IF(Jars[[#This Row],[Jar]]="", "", IFERROR(_xlfn.XLOOKUP(1, (JarsPlusPlus_1[Jar]=Jars[[#This Row],[Jar]])*(JarsPlusPlus_1[Date Added]=Jars[[#This Row],[Date Made]]), JarsPlusPlus_1[Final EC (μS/cm)]), "Unknown"))</f>
        <v>1232</v>
      </c>
      <c r="M28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28" s="19"/>
      <c r="O28" s="19"/>
      <c r="P28" s="17" t="s">
        <v>14</v>
      </c>
      <c r="Q28" s="17">
        <f ca="1">IF(Jars[[#This Row],[Jar]]="", "", IFERROR(SUM(_xlfn.XLOOKUP(Jars[[#This Row],[Jar]], JarsPlusPlus_4[Jar], JarsPlusPlus_4[C:Total Water Added (mL)])), "Unknown"))</f>
        <v>1700</v>
      </c>
      <c r="R28" s="17" t="s">
        <v>377</v>
      </c>
      <c r="S28" s="17" t="s">
        <v>378</v>
      </c>
    </row>
    <row r="29" spans="1:20">
      <c r="A29" t="s">
        <v>463</v>
      </c>
      <c r="B29" s="19" t="s">
        <v>175</v>
      </c>
      <c r="C29" s="17" t="s">
        <v>464</v>
      </c>
      <c r="D29" s="20" t="s">
        <v>458</v>
      </c>
      <c r="E29" s="21" t="str">
        <f>IF(Jars[[#This Row],[Jar Type]]="", "", TEXT(_xlfn.XLOOKUP(Jars[[#This Row],[Jar Type]], Containers!A:A, Containers!C:C), "General"))</f>
        <v>1892.7</v>
      </c>
      <c r="F29" s="19" t="s">
        <v>153</v>
      </c>
      <c r="G29" s="21" t="s">
        <v>459</v>
      </c>
      <c r="H29" s="20" t="str" cm="1">
        <f t="array" ref="H2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29" s="20" t="str" cm="1">
        <f t="array" ref="I2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29" t="s">
        <v>155</v>
      </c>
      <c r="K29" s="21" t="str" cm="1">
        <f t="array" ref="K29">IF(Jars[[#This Row],[Jar]]="", "", IFERROR(_xlfn.XLOOKUP(1, (JarsPlusPlus_1[Jar]=Jars[[#This Row],[Jar]])*(JarsPlusPlus_1[Date Added]=Jars[[#This Row],[Date Made]]), JarsPlusPlus_1[Final pH]), "Unknown"))</f>
        <v>5.50</v>
      </c>
      <c r="L29" s="19" t="str" cm="1">
        <f t="array" ref="L29">IF(Jars[[#This Row],[Jar]]="", "", IFERROR(_xlfn.XLOOKUP(1, (JarsPlusPlus_1[Jar]=Jars[[#This Row],[Jar]])*(JarsPlusPlus_1[Date Added]=Jars[[#This Row],[Date Made]]), JarsPlusPlus_1[Final EC (μS/cm)]), "Unknown"))</f>
        <v>1230</v>
      </c>
      <c r="M29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29" s="19"/>
      <c r="O29" s="19"/>
      <c r="P29" s="17" t="s">
        <v>14</v>
      </c>
      <c r="Q29" s="17">
        <f ca="1">IF(Jars[[#This Row],[Jar]]="", "", IFERROR(SUM(_xlfn.XLOOKUP(Jars[[#This Row],[Jar]], JarsPlusPlus_4[Jar], JarsPlusPlus_4[C:Total Water Added (mL)])), "Unknown"))</f>
        <v>1650</v>
      </c>
      <c r="R29" s="17" t="s">
        <v>377</v>
      </c>
      <c r="S29" s="17" t="s">
        <v>378</v>
      </c>
    </row>
    <row r="30" spans="1:20">
      <c r="A30" t="s">
        <v>468</v>
      </c>
      <c r="B30" s="19" t="s">
        <v>175</v>
      </c>
      <c r="C30" s="17" t="s">
        <v>551</v>
      </c>
      <c r="D30" s="20" t="s">
        <v>458</v>
      </c>
      <c r="E30" s="21" t="str">
        <f>IF(Jars[[#This Row],[Jar Type]]="", "", TEXT(_xlfn.XLOOKUP(Jars[[#This Row],[Jar Type]], Containers!A:A, Containers!C:C), "General"))</f>
        <v>1892.7</v>
      </c>
      <c r="F30" s="19" t="s">
        <v>153</v>
      </c>
      <c r="G30" s="21" t="s">
        <v>459</v>
      </c>
      <c r="H30" s="20" t="str" cm="1">
        <f t="array" ref="H3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0" s="20" t="str" cm="1">
        <f t="array" ref="I3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0" t="s">
        <v>155</v>
      </c>
      <c r="K30" s="21" t="str" cm="1">
        <f t="array" ref="K30">IF(Jars[[#This Row],[Jar]]="", "", IFERROR(_xlfn.XLOOKUP(1, (JarsPlusPlus_1[Jar]=Jars[[#This Row],[Jar]])*(JarsPlusPlus_1[Date Added]=Jars[[#This Row],[Date Made]]), JarsPlusPlus_1[Final pH]), "Unknown"))</f>
        <v>5.50</v>
      </c>
      <c r="L30" s="19" t="str" cm="1">
        <f t="array" ref="L30">IF(Jars[[#This Row],[Jar]]="", "", IFERROR(_xlfn.XLOOKUP(1, (JarsPlusPlus_1[Jar]=Jars[[#This Row],[Jar]])*(JarsPlusPlus_1[Date Added]=Jars[[#This Row],[Date Made]]), JarsPlusPlus_1[Final EC (μS/cm)]), "Unknown"))</f>
        <v>1231</v>
      </c>
      <c r="M30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0" s="19"/>
      <c r="O30" s="19"/>
      <c r="P30" s="17" t="s">
        <v>14</v>
      </c>
      <c r="Q30" s="17">
        <f ca="1">IF(Jars[[#This Row],[Jar]]="", "", IFERROR(SUM(_xlfn.XLOOKUP(Jars[[#This Row],[Jar]], JarsPlusPlus_4[Jar], JarsPlusPlus_4[C:Total Water Added (mL)])), "Unknown"))</f>
        <v>1600</v>
      </c>
      <c r="R30" s="17" t="s">
        <v>377</v>
      </c>
      <c r="S30" s="17" t="s">
        <v>378</v>
      </c>
    </row>
    <row r="31" spans="1:20">
      <c r="A31" t="s">
        <v>472</v>
      </c>
      <c r="B31" s="19" t="s">
        <v>175</v>
      </c>
      <c r="C31" s="17" t="s">
        <v>464</v>
      </c>
      <c r="D31" s="20" t="s">
        <v>458</v>
      </c>
      <c r="E31" s="21" t="str">
        <f>IF(Jars[[#This Row],[Jar Type]]="", "", TEXT(_xlfn.XLOOKUP(Jars[[#This Row],[Jar Type]], Containers!A:A, Containers!C:C), "General"))</f>
        <v>1892.7</v>
      </c>
      <c r="F31" s="19" t="s">
        <v>153</v>
      </c>
      <c r="G31" s="21" t="s">
        <v>459</v>
      </c>
      <c r="H31" s="20" t="str" cm="1">
        <f t="array" ref="H3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1" s="20" t="str" cm="1">
        <f t="array" ref="I3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1" t="s">
        <v>155</v>
      </c>
      <c r="K31" s="21" t="str" cm="1">
        <f t="array" ref="K31">IF(Jars[[#This Row],[Jar]]="", "", IFERROR(_xlfn.XLOOKUP(1, (JarsPlusPlus_1[Jar]=Jars[[#This Row],[Jar]])*(JarsPlusPlus_1[Date Added]=Jars[[#This Row],[Date Made]]), JarsPlusPlus_1[Final pH]), "Unknown"))</f>
        <v>5.50</v>
      </c>
      <c r="L31" s="19" t="str" cm="1">
        <f t="array" ref="L31">IF(Jars[[#This Row],[Jar]]="", "", IFERROR(_xlfn.XLOOKUP(1, (JarsPlusPlus_1[Jar]=Jars[[#This Row],[Jar]])*(JarsPlusPlus_1[Date Added]=Jars[[#This Row],[Date Made]]), JarsPlusPlus_1[Final EC (μS/cm)]), "Unknown"))</f>
        <v>1257</v>
      </c>
      <c r="M31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1" s="19"/>
      <c r="O31" s="19"/>
      <c r="P31" s="17" t="s">
        <v>14</v>
      </c>
      <c r="Q31" s="17">
        <f ca="1">IF(Jars[[#This Row],[Jar]]="", "", IFERROR(SUM(_xlfn.XLOOKUP(Jars[[#This Row],[Jar]], JarsPlusPlus_4[Jar], JarsPlusPlus_4[C:Total Water Added (mL)])), "Unknown"))</f>
        <v>1550</v>
      </c>
      <c r="R31" s="17" t="s">
        <v>377</v>
      </c>
      <c r="S31" s="17" t="s">
        <v>378</v>
      </c>
    </row>
    <row r="32" spans="1:20">
      <c r="A32" t="s">
        <v>476</v>
      </c>
      <c r="B32" s="19" t="s">
        <v>175</v>
      </c>
      <c r="C32" s="17" t="s">
        <v>464</v>
      </c>
      <c r="D32" s="20" t="s">
        <v>458</v>
      </c>
      <c r="E32" s="21" t="str">
        <f>IF(Jars[[#This Row],[Jar Type]]="", "", TEXT(_xlfn.XLOOKUP(Jars[[#This Row],[Jar Type]], Containers!A:A, Containers!C:C), "General"))</f>
        <v>1892.7</v>
      </c>
      <c r="F32" s="19" t="s">
        <v>153</v>
      </c>
      <c r="G32" s="19" t="s">
        <v>477</v>
      </c>
      <c r="H32" s="20" t="str" cm="1">
        <f t="array" ref="H3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2" s="20" t="str" cm="1">
        <f t="array" ref="I3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2" t="s">
        <v>155</v>
      </c>
      <c r="K32" s="17" t="str" cm="1">
        <f t="array" ref="K32">IF(Jars[[#This Row],[Jar]]="", "", IFERROR(_xlfn.XLOOKUP(1, (JarsPlusPlus_1[Jar]=Jars[[#This Row],[Jar]])*(JarsPlusPlus_1[Date Added]=Jars[[#This Row],[Date Made]]), JarsPlusPlus_1[Final pH]), "Unknown"))</f>
        <v>6.00</v>
      </c>
      <c r="L32" s="19" t="str" cm="1">
        <f t="array" ref="L32">IF(Jars[[#This Row],[Jar]]="", "", IFERROR(_xlfn.XLOOKUP(1, (JarsPlusPlus_1[Jar]=Jars[[#This Row],[Jar]])*(JarsPlusPlus_1[Date Added]=Jars[[#This Row],[Date Made]]), JarsPlusPlus_1[Final EC (μS/cm)]), "Unknown"))</f>
        <v>1237</v>
      </c>
      <c r="M32" s="19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2" s="19"/>
      <c r="O32" s="19"/>
      <c r="P32" s="17" t="s">
        <v>14</v>
      </c>
      <c r="Q32" s="19">
        <f ca="1">IF(Jars[[#This Row],[Jar]]="", "", IFERROR(SUM(_xlfn.XLOOKUP(Jars[[#This Row],[Jar]], JarsPlusPlus_4[Jar], JarsPlusPlus_4[C:Total Water Added (mL)])), "Unknown"))</f>
        <v>1750</v>
      </c>
      <c r="R32" s="17" t="s">
        <v>377</v>
      </c>
      <c r="S32" s="17" t="s">
        <v>378</v>
      </c>
    </row>
    <row r="33" spans="1:20">
      <c r="A33" t="s">
        <v>480</v>
      </c>
      <c r="B33" s="19" t="s">
        <v>177</v>
      </c>
      <c r="C33" s="19" t="s">
        <v>238</v>
      </c>
      <c r="D33" s="20" t="s">
        <v>481</v>
      </c>
      <c r="E33" s="17" t="str">
        <f>IF(Jars[[#This Row],[Jar Type]]="", "", TEXT(_xlfn.XLOOKUP(Jars[[#This Row],[Jar Type]], Containers!A:A, Containers!C:C), "General"))</f>
        <v>371</v>
      </c>
      <c r="F33" s="19" t="s">
        <v>153</v>
      </c>
      <c r="G33" s="19" t="s">
        <v>477</v>
      </c>
      <c r="H33" s="20" t="str" cm="1">
        <f t="array" ref="H3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3" s="20" t="str" cm="1">
        <f t="array" ref="I3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3" t="s">
        <v>155</v>
      </c>
      <c r="K33" s="20" t="str" cm="1">
        <f t="array" ref="K33">IF(Jars[[#This Row],[Jar]]="", "", IFERROR(_xlfn.XLOOKUP(1, (JarsPlusPlus_1[Jar]=Jars[[#This Row],[Jar]])*(JarsPlusPlus_1[Date Added]=Jars[[#This Row],[Date Made]]), JarsPlusPlus_1[Final pH]), "Unknown"))</f>
        <v>Unknown</v>
      </c>
      <c r="L33" s="20" t="str" cm="1">
        <f t="array" ref="L33">IF(Jars[[#This Row],[Jar]]="", "", IFERROR(_xlfn.XLOOKUP(1, (JarsPlusPlus_1[Jar]=Jars[[#This Row],[Jar]])*(JarsPlusPlus_1[Date Added]=Jars[[#This Row],[Date Made]]), JarsPlusPlus_1[Final EC (μS/cm)]), "Unknown"))</f>
        <v>Unknown</v>
      </c>
      <c r="M33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3" s="20"/>
      <c r="O33" s="20"/>
      <c r="P33" s="17" t="s">
        <v>14</v>
      </c>
      <c r="Q33" s="17">
        <f ca="1">IF(Jars[[#This Row],[Jar]]="", "", IFERROR(SUM(_xlfn.XLOOKUP(Jars[[#This Row],[Jar]], JarsPlusPlus_4[Jar], JarsPlusPlus_4[C:Total Water Added (mL)])), "Unknown"))</f>
        <v>275</v>
      </c>
      <c r="R33" s="17" t="s">
        <v>377</v>
      </c>
      <c r="S33" s="17" t="s">
        <v>378</v>
      </c>
    </row>
    <row r="34" spans="1:20">
      <c r="A34" t="s">
        <v>484</v>
      </c>
      <c r="B34" s="19" t="s">
        <v>175</v>
      </c>
      <c r="C34" s="19" t="s">
        <v>238</v>
      </c>
      <c r="D34" s="20" t="s">
        <v>481</v>
      </c>
      <c r="E34" s="19" t="str">
        <f>IF(Jars[[#This Row],[Jar Type]]="", "", TEXT(_xlfn.XLOOKUP(Jars[[#This Row],[Jar Type]], Containers!A:A, Containers!C:C), "General"))</f>
        <v>1892.7</v>
      </c>
      <c r="F34" s="19" t="s">
        <v>153</v>
      </c>
      <c r="G34" s="19" t="s">
        <v>485</v>
      </c>
      <c r="H34" s="20" t="str" cm="1">
        <f t="array" ref="H3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4" s="20" t="str" cm="1">
        <f t="array" ref="I3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4" t="s">
        <v>155</v>
      </c>
      <c r="K34" s="20" t="str" cm="1">
        <f t="array" ref="K34">IF(Jars[[#This Row],[Jar]]="", "", IFERROR(_xlfn.XLOOKUP(1, (JarsPlusPlus_1[Jar]=Jars[[#This Row],[Jar]])*(JarsPlusPlus_1[Date Added]=Jars[[#This Row],[Date Made]]), JarsPlusPlus_1[Final pH]), "Unknown"))</f>
        <v>Unknown</v>
      </c>
      <c r="L34" s="20" t="str" cm="1">
        <f t="array" ref="L34">IF(Jars[[#This Row],[Jar]]="", "", IFERROR(_xlfn.XLOOKUP(1, (JarsPlusPlus_1[Jar]=Jars[[#This Row],[Jar]])*(JarsPlusPlus_1[Date Added]=Jars[[#This Row],[Date Made]]), JarsPlusPlus_1[Final EC (μS/cm)]), "Unknown"))</f>
        <v>Unknown</v>
      </c>
      <c r="M34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4" s="20"/>
      <c r="O34" s="20"/>
      <c r="P34" s="17" t="s">
        <v>14</v>
      </c>
      <c r="Q34" s="17">
        <f ca="1">IF(Jars[[#This Row],[Jar]]="", "", IFERROR(SUM(_xlfn.XLOOKUP(Jars[[#This Row],[Jar]], JarsPlusPlus_4[Jar], JarsPlusPlus_4[C:Total Water Added (mL)])), "Unknown"))</f>
        <v>1775</v>
      </c>
      <c r="R34" s="17" t="s">
        <v>377</v>
      </c>
      <c r="S34" s="17" t="s">
        <v>378</v>
      </c>
    </row>
    <row r="35" spans="1:20">
      <c r="A35" t="s">
        <v>487</v>
      </c>
      <c r="B35" s="17" t="s">
        <v>183</v>
      </c>
      <c r="C35" s="8" t="s">
        <v>238</v>
      </c>
      <c r="D35" s="20" t="s">
        <v>481</v>
      </c>
      <c r="E35" s="19" t="str">
        <f>IF(Jars[[#This Row],[Jar Type]]="", "", TEXT(_xlfn.XLOOKUP(Jars[[#This Row],[Jar Type]], Containers!A:A, Containers!C:C), "General"))</f>
        <v>354</v>
      </c>
      <c r="F35" s="19" t="s">
        <v>153</v>
      </c>
      <c r="G35" s="17" t="s">
        <v>488</v>
      </c>
      <c r="H35" s="20" t="str" cm="1">
        <f t="array" ref="H3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5" s="20" t="str" cm="1">
        <f t="array" ref="I3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5" t="s">
        <v>155</v>
      </c>
      <c r="K35" s="17" t="str" cm="1">
        <f t="array" ref="K35">IF(Jars[[#This Row],[Jar]]="", "", IFERROR(_xlfn.XLOOKUP(1, (JarsPlusPlus_1[Jar]=Jars[[#This Row],[Jar]])*(JarsPlusPlus_1[Date Added]=Jars[[#This Row],[Date Made]]), JarsPlusPlus_1[Final pH]), "Unknown"))</f>
        <v>6.25</v>
      </c>
      <c r="L35" s="20" t="str" cm="1">
        <f t="array" ref="L35">IF(Jars[[#This Row],[Jar]]="", "", IFERROR(_xlfn.XLOOKUP(1, (JarsPlusPlus_1[Jar]=Jars[[#This Row],[Jar]])*(JarsPlusPlus_1[Date Added]=Jars[[#This Row],[Date Made]]), JarsPlusPlus_1[Final EC (μS/cm)]), "Unknown"))</f>
        <v>Unknown</v>
      </c>
      <c r="M35" s="20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N35" s="20"/>
      <c r="O35" s="20"/>
      <c r="P35" s="17" t="s">
        <v>14</v>
      </c>
      <c r="Q35" s="17">
        <f ca="1">IF(Jars[[#This Row],[Jar]]="", "", IFERROR(SUM(_xlfn.XLOOKUP(Jars[[#This Row],[Jar]], JarsPlusPlus_4[Jar], JarsPlusPlus_4[C:Total Water Added (mL)])), "Unknown"))</f>
        <v>250</v>
      </c>
      <c r="R35" s="20" t="s">
        <v>490</v>
      </c>
      <c r="S35" s="17" t="s">
        <v>378</v>
      </c>
    </row>
    <row r="36" spans="1:20">
      <c r="A36" t="s">
        <v>491</v>
      </c>
      <c r="B36" s="19" t="s">
        <v>175</v>
      </c>
      <c r="C36" s="17" t="s">
        <v>447</v>
      </c>
      <c r="D36" s="20" t="s">
        <v>458</v>
      </c>
      <c r="E36" s="21" t="str">
        <f>IF(Jars[[#This Row],[Jar Type]]="", "", TEXT(_xlfn.XLOOKUP(Jars[[#This Row],[Jar Type]], Containers!A:A, Containers!C:C), "General"))</f>
        <v>1892.7</v>
      </c>
      <c r="F36" s="19" t="s">
        <v>153</v>
      </c>
      <c r="G36" s="17" t="s">
        <v>488</v>
      </c>
      <c r="H36" s="20" t="str" cm="1">
        <f t="array" ref="H3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6" s="20" t="str" cm="1">
        <f t="array" ref="I3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6" t="s">
        <v>155</v>
      </c>
      <c r="K36" s="17" t="str" cm="1">
        <f t="array" ref="K36">IF(Jars[[#This Row],[Jar]]="", "", IFERROR(_xlfn.XLOOKUP(1, (JarsPlusPlus_1[Jar]=Jars[[#This Row],[Jar]])*(JarsPlusPlus_1[Date Added]=Jars[[#This Row],[Date Made]]), JarsPlusPlus_1[Final pH]), "Unknown"))</f>
        <v>6.50</v>
      </c>
      <c r="L36" s="17" t="str" cm="1">
        <f t="array" ref="L36">IF(Jars[[#This Row],[Jar]]="", "", IFERROR(_xlfn.XLOOKUP(1, (JarsPlusPlus_1[Jar]=Jars[[#This Row],[Jar]])*(JarsPlusPlus_1[Date Added]=Jars[[#This Row],[Date Made]]), JarsPlusPlus_1[Final EC (μS/cm)]), "Unknown"))</f>
        <v>1287</v>
      </c>
      <c r="M36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6" s="17" t="s">
        <v>14</v>
      </c>
      <c r="Q36" s="17">
        <f ca="1">IF(Jars[[#This Row],[Jar]]="", "", IFERROR(SUM(_xlfn.XLOOKUP(Jars[[#This Row],[Jar]], JarsPlusPlus_4[Jar], JarsPlusPlus_4[C:Total Water Added (mL)])), "Unknown"))</f>
        <v>1800</v>
      </c>
      <c r="R36" s="17" t="s">
        <v>377</v>
      </c>
      <c r="S36" s="17" t="s">
        <v>378</v>
      </c>
    </row>
    <row r="37" spans="1:20">
      <c r="A37" t="s">
        <v>495</v>
      </c>
      <c r="B37" s="19" t="s">
        <v>175</v>
      </c>
      <c r="C37" s="17" t="s">
        <v>464</v>
      </c>
      <c r="D37" s="20" t="s">
        <v>458</v>
      </c>
      <c r="E37" s="21" t="str">
        <f>IF(Jars[[#This Row],[Jar Type]]="", "", TEXT(_xlfn.XLOOKUP(Jars[[#This Row],[Jar Type]], Containers!A:A, Containers!C:C), "General"))</f>
        <v>1892.7</v>
      </c>
      <c r="F37" s="19" t="s">
        <v>153</v>
      </c>
      <c r="G37" s="17" t="s">
        <v>488</v>
      </c>
      <c r="H37" s="20" t="str" cm="1">
        <f t="array" ref="H3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7" s="20" t="str" cm="1">
        <f t="array" ref="I3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7" t="s">
        <v>155</v>
      </c>
      <c r="K37" s="17" t="str" cm="1">
        <f t="array" ref="K37">IF(Jars[[#This Row],[Jar]]="", "", IFERROR(_xlfn.XLOOKUP(1, (JarsPlusPlus_1[Jar]=Jars[[#This Row],[Jar]])*(JarsPlusPlus_1[Date Added]=Jars[[#This Row],[Date Made]]), JarsPlusPlus_1[Final pH]), "Unknown"))</f>
        <v>6.00</v>
      </c>
      <c r="L37" s="17" t="str" cm="1">
        <f t="array" ref="L37">IF(Jars[[#This Row],[Jar]]="", "", IFERROR(_xlfn.XLOOKUP(1, (JarsPlusPlus_1[Jar]=Jars[[#This Row],[Jar]])*(JarsPlusPlus_1[Date Added]=Jars[[#This Row],[Date Made]]), JarsPlusPlus_1[Final EC (μS/cm)]), "Unknown"))</f>
        <v>1270</v>
      </c>
      <c r="M37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7" s="17" t="s">
        <v>14</v>
      </c>
      <c r="Q37" s="17">
        <f ca="1">IF(Jars[[#This Row],[Jar]]="", "", IFERROR(SUM(_xlfn.XLOOKUP(Jars[[#This Row],[Jar]], JarsPlusPlus_4[Jar], JarsPlusPlus_4[C:Total Water Added (mL)])), "Unknown"))</f>
        <v>1700</v>
      </c>
      <c r="R37" s="17" t="s">
        <v>377</v>
      </c>
      <c r="S37" s="17" t="s">
        <v>378</v>
      </c>
    </row>
    <row r="38" spans="1:20">
      <c r="A38" t="s">
        <v>498</v>
      </c>
      <c r="B38" s="19" t="s">
        <v>175</v>
      </c>
      <c r="C38" s="17" t="s">
        <v>499</v>
      </c>
      <c r="D38" s="20" t="s">
        <v>458</v>
      </c>
      <c r="E38" s="17" t="str">
        <f>IF(Jars[[#This Row],[Jar Type]]="", "", TEXT(_xlfn.XLOOKUP(Jars[[#This Row],[Jar Type]], Containers!A:A, Containers!C:C), "General"))</f>
        <v>1892.7</v>
      </c>
      <c r="F38" s="19" t="s">
        <v>153</v>
      </c>
      <c r="G38" s="17" t="s">
        <v>488</v>
      </c>
      <c r="H38" s="20" t="str" cm="1">
        <f t="array" aca="1" ref="H38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1650</v>
      </c>
      <c r="I38" s="20" t="str" cm="1">
        <f t="array" ref="I3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8" t="s">
        <v>155</v>
      </c>
      <c r="K38" s="17" t="str" cm="1">
        <f t="array" ref="K38">IF(Jars[[#This Row],[Jar]]="", "", IFERROR(_xlfn.XLOOKUP(1, (JarsPlusPlus_1[Jar]=Jars[[#This Row],[Jar]])*(JarsPlusPlus_1[Date Added]=Jars[[#This Row],[Date Made]]), JarsPlusPlus_1[Final pH]), "Unknown"))</f>
        <v>5.75</v>
      </c>
      <c r="L38" s="17" t="str" cm="1">
        <f t="array" ref="L38">IF(Jars[[#This Row],[Jar]]="", "", IFERROR(_xlfn.XLOOKUP(1, (JarsPlusPlus_1[Jar]=Jars[[#This Row],[Jar]])*(JarsPlusPlus_1[Date Added]=Jars[[#This Row],[Date Made]]), JarsPlusPlus_1[Final EC (μS/cm)]), "Unknown"))</f>
        <v>1248</v>
      </c>
      <c r="M38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8" s="19" t="s">
        <v>153</v>
      </c>
      <c r="Q38" s="17">
        <f ca="1">IF(Jars[[#This Row],[Jar]]="", "", IFERROR(SUM(_xlfn.XLOOKUP(Jars[[#This Row],[Jar]], JarsPlusPlus_4[Jar], JarsPlusPlus_4[C:Total Water Added (mL)])), "Unknown"))</f>
        <v>1650</v>
      </c>
      <c r="R38" s="17" t="s">
        <v>377</v>
      </c>
      <c r="S38" s="17" t="s">
        <v>378</v>
      </c>
      <c r="T38" s="17" t="s">
        <v>502</v>
      </c>
    </row>
    <row r="39" spans="1:20">
      <c r="A39" t="s">
        <v>503</v>
      </c>
      <c r="B39" s="19" t="s">
        <v>175</v>
      </c>
      <c r="C39" s="17" t="s">
        <v>504</v>
      </c>
      <c r="D39" s="20" t="s">
        <v>458</v>
      </c>
      <c r="E39" s="17" t="str">
        <f>IF(Jars[[#This Row],[Jar Type]]="", "", TEXT(_xlfn.XLOOKUP(Jars[[#This Row],[Jar Type]], Containers!A:A, Containers!C:C), "General"))</f>
        <v>1892.7</v>
      </c>
      <c r="F39" s="19" t="s">
        <v>153</v>
      </c>
      <c r="G39" s="17" t="s">
        <v>488</v>
      </c>
      <c r="H39" s="20" t="str" cm="1">
        <f t="array" ref="H3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39" s="20" t="str" cm="1">
        <f t="array" ref="I3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39" t="s">
        <v>155</v>
      </c>
      <c r="K39" s="17" t="str" cm="1">
        <f t="array" ref="K39">IF(Jars[[#This Row],[Jar]]="", "", IFERROR(_xlfn.XLOOKUP(1, (JarsPlusPlus_1[Jar]=Jars[[#This Row],[Jar]])*(JarsPlusPlus_1[Date Added]=Jars[[#This Row],[Date Made]]), JarsPlusPlus_1[Final pH]), "Unknown"))</f>
        <v>6.00</v>
      </c>
      <c r="L39" s="17" t="str" cm="1">
        <f t="array" ref="L39">IF(Jars[[#This Row],[Jar]]="", "", IFERROR(_xlfn.XLOOKUP(1, (JarsPlusPlus_1[Jar]=Jars[[#This Row],[Jar]])*(JarsPlusPlus_1[Date Added]=Jars[[#This Row],[Date Made]]), JarsPlusPlus_1[Final EC (μS/cm)]), "Unknown"))</f>
        <v>1288</v>
      </c>
      <c r="M39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39" s="17" t="s">
        <v>14</v>
      </c>
      <c r="Q39" s="17">
        <f ca="1">IF(Jars[[#This Row],[Jar]]="", "", IFERROR(SUM(_xlfn.XLOOKUP(Jars[[#This Row],[Jar]], JarsPlusPlus_4[Jar], JarsPlusPlus_4[C:Total Water Added (mL)])), "Unknown"))</f>
        <v>1600</v>
      </c>
      <c r="R39" s="17" t="s">
        <v>377</v>
      </c>
      <c r="S39" s="17" t="s">
        <v>378</v>
      </c>
    </row>
    <row r="40" spans="1:20">
      <c r="A40" t="s">
        <v>507</v>
      </c>
      <c r="B40" s="19" t="s">
        <v>175</v>
      </c>
      <c r="C40" s="17" t="s">
        <v>552</v>
      </c>
      <c r="D40" s="20" t="s">
        <v>458</v>
      </c>
      <c r="E40" s="17" t="str">
        <f>IF(Jars[[#This Row],[Jar Type]]="", "", TEXT(_xlfn.XLOOKUP(Jars[[#This Row],[Jar Type]], Containers!A:A, Containers!C:C), "General"))</f>
        <v>1892.7</v>
      </c>
      <c r="F40" s="19" t="s">
        <v>153</v>
      </c>
      <c r="G40" s="17" t="s">
        <v>488</v>
      </c>
      <c r="H40" s="20" t="str" cm="1">
        <f t="array" ref="H4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0" s="20" t="str" cm="1">
        <f t="array" ref="I4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0" t="s">
        <v>155</v>
      </c>
      <c r="K40" s="17" t="str" cm="1">
        <f t="array" ref="K40">IF(Jars[[#This Row],[Jar]]="", "", IFERROR(_xlfn.XLOOKUP(1, (JarsPlusPlus_1[Jar]=Jars[[#This Row],[Jar]])*(JarsPlusPlus_1[Date Added]=Jars[[#This Row],[Date Made]]), JarsPlusPlus_1[Final pH]), "Unknown"))</f>
        <v>6.00</v>
      </c>
      <c r="L40" s="17" t="str" cm="1">
        <f t="array" ref="L40">IF(Jars[[#This Row],[Jar]]="", "", IFERROR(_xlfn.XLOOKUP(1, (JarsPlusPlus_1[Jar]=Jars[[#This Row],[Jar]])*(JarsPlusPlus_1[Date Added]=Jars[[#This Row],[Date Made]]), JarsPlusPlus_1[Final EC (μS/cm)]), "Unknown"))</f>
        <v>1268</v>
      </c>
      <c r="M40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0" s="17" t="s">
        <v>14</v>
      </c>
      <c r="Q40" s="17">
        <f ca="1">IF(Jars[[#This Row],[Jar]]="", "", IFERROR(SUM(_xlfn.XLOOKUP(Jars[[#This Row],[Jar]], JarsPlusPlus_4[Jar], JarsPlusPlus_4[C:Total Water Added (mL)])), "Unknown"))</f>
        <v>1550</v>
      </c>
      <c r="R40" s="17" t="s">
        <v>377</v>
      </c>
      <c r="S40" s="17" t="s">
        <v>378</v>
      </c>
    </row>
    <row r="41" spans="1:20">
      <c r="A41" t="s">
        <v>510</v>
      </c>
      <c r="B41" s="19" t="s">
        <v>175</v>
      </c>
      <c r="C41" s="17" t="s">
        <v>510</v>
      </c>
      <c r="D41" s="20" t="s">
        <v>458</v>
      </c>
      <c r="E41" s="17" t="str">
        <f>IF(Jars[[#This Row],[Jar Type]]="", "", TEXT(_xlfn.XLOOKUP(Jars[[#This Row],[Jar Type]], Containers!A:A, Containers!C:C), "General"))</f>
        <v>1892.7</v>
      </c>
      <c r="F41" s="19" t="s">
        <v>153</v>
      </c>
      <c r="G41" s="17" t="s">
        <v>488</v>
      </c>
      <c r="H41" s="20" t="str" cm="1">
        <f t="array" ref="H4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1" s="20" t="str" cm="1">
        <f t="array" ref="I4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1" t="s">
        <v>155</v>
      </c>
      <c r="K41" s="17" t="str" cm="1">
        <f t="array" ref="K41">IF(Jars[[#This Row],[Jar]]="", "", IFERROR(_xlfn.XLOOKUP(1, (JarsPlusPlus_1[Jar]=Jars[[#This Row],[Jar]])*(JarsPlusPlus_1[Date Added]=Jars[[#This Row],[Date Made]]), JarsPlusPlus_1[Final pH]), "Unknown"))</f>
        <v>6.00</v>
      </c>
      <c r="L41" s="17" t="str" cm="1">
        <f t="array" ref="L41">IF(Jars[[#This Row],[Jar]]="", "", IFERROR(_xlfn.XLOOKUP(1, (JarsPlusPlus_1[Jar]=Jars[[#This Row],[Jar]])*(JarsPlusPlus_1[Date Added]=Jars[[#This Row],[Date Made]]), JarsPlusPlus_1[Final EC (μS/cm)]), "Unknown"))</f>
        <v>1275</v>
      </c>
      <c r="M41" s="17" t="str">
        <f>IF(Jars[[#This Row],[Jar]]="", "", IFERROR(IFERROR(_xlfn.XLOOKUP(Jars[[#This Row],[Jar]], Growing[Growing Jar], Growing[Status]), _xlfn.XLOOKUP(Jars[[#This Row],[Jar]], Growing[Seeding Jar], Growing[Status])), "Ready"))</f>
        <v>Ready</v>
      </c>
      <c r="P41" s="17" t="s">
        <v>14</v>
      </c>
      <c r="Q41" s="17">
        <f ca="1">IF(Jars[[#This Row],[Jar]]="", "", IFERROR(SUM(_xlfn.XLOOKUP(Jars[[#This Row],[Jar]], JarsPlusPlus_4[Jar], JarsPlusPlus_4[C:Total Water Added (mL)])), "Unknown"))</f>
        <v>1500</v>
      </c>
      <c r="R41" s="17" t="s">
        <v>377</v>
      </c>
      <c r="S41" s="17" t="s">
        <v>378</v>
      </c>
    </row>
    <row r="42" spans="1:20">
      <c r="A42" t="s">
        <v>514</v>
      </c>
      <c r="B42" s="17" t="s">
        <v>189</v>
      </c>
      <c r="C42" s="8" t="s">
        <v>238</v>
      </c>
      <c r="D42" s="17" t="s">
        <v>481</v>
      </c>
      <c r="E42" s="17" t="str">
        <f>IF(Jars[[#This Row],[Jar Type]]="", "", TEXT(_xlfn.XLOOKUP(Jars[[#This Row],[Jar Type]], Containers!A:A, Containers!C:C), "General"))</f>
        <v>361</v>
      </c>
      <c r="F42" s="19" t="s">
        <v>153</v>
      </c>
      <c r="G42" s="19" t="s">
        <v>515</v>
      </c>
      <c r="H42" s="20" t="str" cm="1">
        <f t="array" ref="H42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2" s="20" t="str" cm="1">
        <f t="array" ref="I4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2" t="s">
        <v>155</v>
      </c>
      <c r="K42" s="17" t="str" cm="1">
        <f t="array" ref="K42">IF(Jars[[#This Row],[Jar]]="", "", IFERROR(_xlfn.XLOOKUP(1, (JarsPlusPlus_1[Jar]=Jars[[#This Row],[Jar]])*(JarsPlusPlus_1[Date Added]=Jars[[#This Row],[Date Made]]), JarsPlusPlus_1[Final pH]), "Unknown"))</f>
        <v>Unknown</v>
      </c>
      <c r="L42" s="17" t="str" cm="1">
        <f t="array" ref="L42">IF(Jars[[#This Row],[Jar]]="", "", IFERROR(_xlfn.XLOOKUP(1, (JarsPlusPlus_1[Jar]=Jars[[#This Row],[Jar]])*(JarsPlusPlus_1[Date Added]=Jars[[#This Row],[Date Made]]), JarsPlusPlus_1[Final EC (μS/cm)]), "Unknown"))</f>
        <v>Unknown</v>
      </c>
      <c r="M42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2" s="17" t="s">
        <v>14</v>
      </c>
      <c r="Q42" s="17">
        <f ca="1">IF(Jars[[#This Row],[Jar]]="", "", IFERROR(SUM(_xlfn.XLOOKUP(Jars[[#This Row],[Jar]], JarsPlusPlus_4[Jar], JarsPlusPlus_4[C:Total Water Added (mL)])), "Unknown"))</f>
        <v>275</v>
      </c>
      <c r="R42" s="17" t="s">
        <v>490</v>
      </c>
      <c r="S42" s="17" t="s">
        <v>378</v>
      </c>
    </row>
    <row r="43" spans="1:20">
      <c r="A43" t="s">
        <v>516</v>
      </c>
      <c r="B43" s="17" t="s">
        <v>194</v>
      </c>
      <c r="C43" s="8" t="s">
        <v>238</v>
      </c>
      <c r="D43" s="17" t="s">
        <v>481</v>
      </c>
      <c r="E43" s="17" t="str">
        <f>IF(Jars[[#This Row],[Jar Type]]="", "", TEXT(_xlfn.XLOOKUP(Jars[[#This Row],[Jar Type]], Containers!A:A, Containers!C:C), "General"))</f>
        <v>250</v>
      </c>
      <c r="F43" s="19" t="s">
        <v>153</v>
      </c>
      <c r="G43" s="19" t="s">
        <v>517</v>
      </c>
      <c r="H43" s="20" t="str" cm="1">
        <f t="array" aca="1" ref="H43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3" s="20" t="str" cm="1">
        <f t="array" ref="I43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3" t="s">
        <v>155</v>
      </c>
      <c r="K43" s="17" t="str" cm="1">
        <f t="array" ref="K43">IF(Jars[[#This Row],[Jar]]="", "", IFERROR(_xlfn.XLOOKUP(1, (JarsPlusPlus_1[Jar]=Jars[[#This Row],[Jar]])*(JarsPlusPlus_1[Date Added]=Jars[[#This Row],[Date Made]]), JarsPlusPlus_1[Final pH]), "Unknown"))</f>
        <v>Unknown</v>
      </c>
      <c r="L43" s="17" t="str" cm="1">
        <f t="array" ref="L43">IF(Jars[[#This Row],[Jar]]="", "", IFERROR(_xlfn.XLOOKUP(1, (JarsPlusPlus_1[Jar]=Jars[[#This Row],[Jar]])*(JarsPlusPlus_1[Date Added]=Jars[[#This Row],[Date Made]]), JarsPlusPlus_1[Final EC (μS/cm)]), "Unknown"))</f>
        <v>Unknown</v>
      </c>
      <c r="M43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3" s="17" t="s">
        <v>14</v>
      </c>
      <c r="O43" s="17" t="s">
        <v>14</v>
      </c>
      <c r="P43" s="19" t="s">
        <v>153</v>
      </c>
      <c r="Q43" s="19">
        <f ca="1">IF(Jars[[#This Row],[Jar]]="", "", IFERROR(SUM(_xlfn.XLOOKUP(Jars[[#This Row],[Jar]], JarsPlusPlus_4[Jar], JarsPlusPlus_4[C:Total Water Added (mL)])), "Unknown"))</f>
        <v>175</v>
      </c>
      <c r="R43" s="17" t="s">
        <v>519</v>
      </c>
      <c r="S43" s="17" t="s">
        <v>378</v>
      </c>
      <c r="T43" s="17" t="s">
        <v>520</v>
      </c>
    </row>
    <row r="44" spans="1:20">
      <c r="A44" t="s">
        <v>521</v>
      </c>
      <c r="B44" s="20" t="s">
        <v>194</v>
      </c>
      <c r="C44" s="8" t="s">
        <v>238</v>
      </c>
      <c r="D44" s="19" t="s">
        <v>481</v>
      </c>
      <c r="E44" s="17" t="str">
        <f>IF(Jars[[#This Row],[Jar Type]]="", "", TEXT(_xlfn.XLOOKUP(Jars[[#This Row],[Jar Type]], Containers!A:A, Containers!C:C), "General"))</f>
        <v>250</v>
      </c>
      <c r="F44" s="19" t="s">
        <v>153</v>
      </c>
      <c r="G44" s="21" t="s">
        <v>517</v>
      </c>
      <c r="H44" s="20" t="str" cm="1">
        <f t="array" aca="1" ref="H44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4" s="20" t="str" cm="1">
        <f t="array" ref="I4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4" t="s">
        <v>155</v>
      </c>
      <c r="K44" s="17" t="str" cm="1">
        <f t="array" ref="K44">IF(Jars[[#This Row],[Jar]]="", "", IFERROR(_xlfn.XLOOKUP(1, (JarsPlusPlus_1[Jar]=Jars[[#This Row],[Jar]])*(JarsPlusPlus_1[Date Added]=Jars[[#This Row],[Date Made]]), JarsPlusPlus_1[Final pH]), "Unknown"))</f>
        <v>Unknown</v>
      </c>
      <c r="L44" s="17" t="str" cm="1">
        <f t="array" ref="L44">IF(Jars[[#This Row],[Jar]]="", "", IFERROR(_xlfn.XLOOKUP(1, (JarsPlusPlus_1[Jar]=Jars[[#This Row],[Jar]])*(JarsPlusPlus_1[Date Added]=Jars[[#This Row],[Date Made]]), JarsPlusPlus_1[Final EC (μS/cm)]), "Unknown"))</f>
        <v>Unknown</v>
      </c>
      <c r="M44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4" s="17" t="s">
        <v>14</v>
      </c>
      <c r="O44" s="17" t="s">
        <v>14</v>
      </c>
      <c r="P44" s="19" t="s">
        <v>153</v>
      </c>
      <c r="Q44" s="21">
        <f ca="1">IF(Jars[[#This Row],[Jar]]="", "", IFERROR(SUM(_xlfn.XLOOKUP(Jars[[#This Row],[Jar]], JarsPlusPlus_4[Jar], JarsPlusPlus_4[C:Total Water Added (mL)])), "Unknown"))</f>
        <v>175</v>
      </c>
      <c r="R44" s="20" t="s">
        <v>519</v>
      </c>
      <c r="S44" s="17" t="s">
        <v>378</v>
      </c>
      <c r="T44" s="3" t="s">
        <v>520</v>
      </c>
    </row>
    <row r="45" spans="1:20">
      <c r="A45" t="s">
        <v>522</v>
      </c>
      <c r="B45" s="20" t="s">
        <v>194</v>
      </c>
      <c r="C45" s="8" t="s">
        <v>238</v>
      </c>
      <c r="D45" s="19" t="s">
        <v>481</v>
      </c>
      <c r="E45" s="17" t="str">
        <f>IF(Jars[[#This Row],[Jar Type]]="", "", TEXT(_xlfn.XLOOKUP(Jars[[#This Row],[Jar Type]], Containers!A:A, Containers!C:C), "General"))</f>
        <v>250</v>
      </c>
      <c r="F45" s="19" t="s">
        <v>153</v>
      </c>
      <c r="G45" s="21" t="s">
        <v>517</v>
      </c>
      <c r="H45" s="20" t="str" cm="1">
        <f t="array" aca="1" ref="H45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0183</v>
      </c>
      <c r="I45" s="20" t="str" cm="1">
        <f t="array" ref="I4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45" t="s">
        <v>155</v>
      </c>
      <c r="K45" s="17" t="str" cm="1">
        <f t="array" ref="K45">IF(Jars[[#This Row],[Jar]]="", "", IFERROR(_xlfn.XLOOKUP(1, (JarsPlusPlus_1[Jar]=Jars[[#This Row],[Jar]])*(JarsPlusPlus_1[Date Added]=Jars[[#This Row],[Date Made]]), JarsPlusPlus_1[Final pH]), "Unknown"))</f>
        <v>Unknown</v>
      </c>
      <c r="L45" s="17" t="str" cm="1">
        <f t="array" ref="L45">IF(Jars[[#This Row],[Jar]]="", "", IFERROR(_xlfn.XLOOKUP(1, (JarsPlusPlus_1[Jar]=Jars[[#This Row],[Jar]])*(JarsPlusPlus_1[Date Added]=Jars[[#This Row],[Date Made]]), JarsPlusPlus_1[Final EC (μS/cm)]), "Unknown"))</f>
        <v>Unknown</v>
      </c>
      <c r="M45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5" s="17" t="s">
        <v>14</v>
      </c>
      <c r="O45" s="17" t="s">
        <v>14</v>
      </c>
      <c r="P45" s="19" t="s">
        <v>153</v>
      </c>
      <c r="Q45" s="21">
        <f ca="1">IF(Jars[[#This Row],[Jar]]="", "", IFERROR(SUM(_xlfn.XLOOKUP(Jars[[#This Row],[Jar]], JarsPlusPlus_4[Jar], JarsPlusPlus_4[C:Total Water Added (mL)])), "Unknown"))</f>
        <v>175</v>
      </c>
      <c r="R45" s="20" t="s">
        <v>519</v>
      </c>
      <c r="S45" s="17" t="s">
        <v>378</v>
      </c>
      <c r="T45" s="3" t="s">
        <v>520</v>
      </c>
    </row>
    <row r="46" spans="1:20">
      <c r="A46" t="s">
        <v>523</v>
      </c>
      <c r="B46" s="17" t="s">
        <v>194</v>
      </c>
      <c r="C46" s="8" t="s">
        <v>238</v>
      </c>
      <c r="D46" s="17" t="s">
        <v>481</v>
      </c>
      <c r="E46" s="17" t="str">
        <f>IF(Jars[[#This Row],[Jar Type]]="", "", TEXT(_xlfn.XLOOKUP(Jars[[#This Row],[Jar Type]], Containers!A:A, Containers!C:C), "General"))</f>
        <v>250</v>
      </c>
      <c r="F46" s="19" t="s">
        <v>179</v>
      </c>
      <c r="G46" s="19" t="s">
        <v>524</v>
      </c>
      <c r="H46" s="20" t="str" cm="1">
        <f t="array" ref="H4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6" s="20" t="str" cm="1">
        <f t="array" aca="1" ref="I46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6" t="s">
        <v>155</v>
      </c>
      <c r="K46" s="17" t="str" cm="1">
        <f t="array" ref="K46">IF(Jars[[#This Row],[Jar]]="", "", IFERROR(_xlfn.XLOOKUP(1, (JarsPlusPlus_1[Jar]=Jars[[#This Row],[Jar]])*(JarsPlusPlus_1[Date Added]=Jars[[#This Row],[Date Made]]), JarsPlusPlus_1[Final pH]), "Unknown"))</f>
        <v>Unknown</v>
      </c>
      <c r="L46" s="17" t="str" cm="1">
        <f t="array" ref="L46">IF(Jars[[#This Row],[Jar]]="", "", IFERROR(_xlfn.XLOOKUP(1, (JarsPlusPlus_1[Jar]=Jars[[#This Row],[Jar]])*(JarsPlusPlus_1[Date Added]=Jars[[#This Row],[Date Made]]), JarsPlusPlus_1[Final EC (μS/cm)]), "Unknown"))</f>
        <v>Unknown</v>
      </c>
      <c r="M46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6" s="19" t="s">
        <v>179</v>
      </c>
      <c r="Q46" s="19">
        <f ca="1">IF(Jars[[#This Row],[Jar]]="", "", IFERROR(SUM(_xlfn.XLOOKUP(Jars[[#This Row],[Jar]], JarsPlusPlus_4[Jar], JarsPlusPlus_4[C:Total Water Added (mL)])), "Unknown"))</f>
        <v>200</v>
      </c>
      <c r="R46" s="17" t="s">
        <v>519</v>
      </c>
      <c r="S46" s="17" t="s">
        <v>378</v>
      </c>
    </row>
    <row r="47" spans="1:20">
      <c r="A47" t="s">
        <v>526</v>
      </c>
      <c r="B47" s="20" t="s">
        <v>194</v>
      </c>
      <c r="C47" s="8" t="s">
        <v>238</v>
      </c>
      <c r="D47" s="19" t="s">
        <v>481</v>
      </c>
      <c r="E47" s="17" t="str">
        <f>IF(Jars[[#This Row],[Jar Type]]="", "", TEXT(_xlfn.XLOOKUP(Jars[[#This Row],[Jar Type]], Containers!A:A, Containers!C:C), "General"))</f>
        <v>250</v>
      </c>
      <c r="F47" s="19" t="s">
        <v>179</v>
      </c>
      <c r="G47" s="21" t="s">
        <v>524</v>
      </c>
      <c r="H47" s="20" t="str" cm="1">
        <f t="array" ref="H4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7" s="20" t="str" cm="1">
        <f t="array" aca="1" ref="I47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7" t="s">
        <v>155</v>
      </c>
      <c r="K47" s="17" t="str" cm="1">
        <f t="array" ref="K47">IF(Jars[[#This Row],[Jar]]="", "", IFERROR(_xlfn.XLOOKUP(1, (JarsPlusPlus_1[Jar]=Jars[[#This Row],[Jar]])*(JarsPlusPlus_1[Date Added]=Jars[[#This Row],[Date Made]]), JarsPlusPlus_1[Final pH]), "Unknown"))</f>
        <v>Unknown</v>
      </c>
      <c r="L47" s="17" t="str" cm="1">
        <f t="array" ref="L47">IF(Jars[[#This Row],[Jar]]="", "", IFERROR(_xlfn.XLOOKUP(1, (JarsPlusPlus_1[Jar]=Jars[[#This Row],[Jar]])*(JarsPlusPlus_1[Date Added]=Jars[[#This Row],[Date Made]]), JarsPlusPlus_1[Final EC (μS/cm)]), "Unknown"))</f>
        <v>Unknown</v>
      </c>
      <c r="M47" s="17" t="str">
        <f ca="1">IF(Jars[[#This Row],[Jar]]="", "", IFERROR(IFERROR(_xlfn.XLOOKUP(Jars[[#This Row],[Jar]], Growing[Growing Jar], Growing[Status]), _xlfn.XLOOKUP(Jars[[#This Row],[Jar]], Growing[Seeding Jar], Growing[Status])), "Ready"))</f>
        <v>Finished</v>
      </c>
      <c r="N47" s="17" t="s">
        <v>14</v>
      </c>
      <c r="O47" s="17" t="s">
        <v>14</v>
      </c>
      <c r="P47" s="19" t="s">
        <v>179</v>
      </c>
      <c r="Q47" s="21">
        <f ca="1">IF(Jars[[#This Row],[Jar]]="", "", IFERROR(SUM(_xlfn.XLOOKUP(Jars[[#This Row],[Jar]], JarsPlusPlus_4[Jar], JarsPlusPlus_4[C:Total Water Added (mL)])), "Unknown"))</f>
        <v>195</v>
      </c>
      <c r="R47" s="20" t="s">
        <v>519</v>
      </c>
      <c r="S47" s="17" t="s">
        <v>378</v>
      </c>
      <c r="T47" s="17" t="s">
        <v>553</v>
      </c>
    </row>
    <row r="48" spans="1:20">
      <c r="A48" t="s">
        <v>528</v>
      </c>
      <c r="B48" s="20" t="s">
        <v>194</v>
      </c>
      <c r="C48" s="8" t="s">
        <v>238</v>
      </c>
      <c r="D48" s="19" t="s">
        <v>481</v>
      </c>
      <c r="E48" s="17" t="str">
        <f>IF(Jars[[#This Row],[Jar Type]]="", "", TEXT(_xlfn.XLOOKUP(Jars[[#This Row],[Jar Type]], Containers!A:A, Containers!C:C), "General"))</f>
        <v>250</v>
      </c>
      <c r="F48" s="19" t="s">
        <v>179</v>
      </c>
      <c r="G48" s="21" t="s">
        <v>524</v>
      </c>
      <c r="H48" s="20" t="str" cm="1">
        <f t="array" ref="H4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8" s="20" t="str" cm="1">
        <f t="array" aca="1" ref="I48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0183</v>
      </c>
      <c r="J48" t="s">
        <v>155</v>
      </c>
      <c r="K48" s="17" t="str" cm="1">
        <f t="array" ref="K48">IF(Jars[[#This Row],[Jar]]="", "", IFERROR(_xlfn.XLOOKUP(1, (JarsPlusPlus_1[Jar]=Jars[[#This Row],[Jar]])*(JarsPlusPlus_1[Date Added]=Jars[[#This Row],[Date Made]]), JarsPlusPlus_1[Final pH]), "Unknown"))</f>
        <v>Unknown</v>
      </c>
      <c r="L48" s="17" t="str" cm="1">
        <f t="array" ref="L48">IF(Jars[[#This Row],[Jar]]="", "", IFERROR(_xlfn.XLOOKUP(1, (JarsPlusPlus_1[Jar]=Jars[[#This Row],[Jar]])*(JarsPlusPlus_1[Date Added]=Jars[[#This Row],[Date Made]]), JarsPlusPlus_1[Final EC (μS/cm)]), "Unknown"))</f>
        <v>Unknown</v>
      </c>
      <c r="M48" s="17" t="str">
        <f ca="1">IF(Jars[[#This Row],[Jar]]="", "", IFERROR(IFERROR(_xlfn.XLOOKUP(Jars[[#This Row],[Jar]], Growing[Growing Jar], Growing[Status]), _xlfn.XLOOKUP(Jars[[#This Row],[Jar]], Growing[Seeding Jar], Growing[Status])), "Ready"))</f>
        <v>Growing</v>
      </c>
      <c r="P48" s="19" t="s">
        <v>179</v>
      </c>
      <c r="Q48" s="21">
        <f ca="1">IF(Jars[[#This Row],[Jar]]="", "", IFERROR(SUM(_xlfn.XLOOKUP(Jars[[#This Row],[Jar]], JarsPlusPlus_4[Jar], JarsPlusPlus_4[C:Total Water Added (mL)])), "Unknown"))</f>
        <v>190</v>
      </c>
      <c r="R48" s="20" t="s">
        <v>519</v>
      </c>
      <c r="S48" s="17" t="s">
        <v>378</v>
      </c>
    </row>
    <row r="49" spans="1:19">
      <c r="A49" s="10" t="s">
        <v>530</v>
      </c>
      <c r="B49" s="19" t="s">
        <v>175</v>
      </c>
      <c r="C49" s="19" t="s">
        <v>530</v>
      </c>
      <c r="D49" s="17" t="s">
        <v>458</v>
      </c>
      <c r="E49" s="17" t="str">
        <f>IF(Jars[[#This Row],[Jar Type]]="", "", TEXT(_xlfn.XLOOKUP(Jars[[#This Row],[Jar Type]], Containers!A:A, Containers!C:C), "General"))</f>
        <v>1892.7</v>
      </c>
      <c r="F49" s="19" t="s">
        <v>153</v>
      </c>
      <c r="G49" s="19" t="s">
        <v>531</v>
      </c>
      <c r="H49" s="20" t="str" cm="1">
        <f t="array" ref="H4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49" s="20" t="str" cm="1">
        <f t="array" aca="1" ref="I49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1650</v>
      </c>
      <c r="J49" t="s">
        <v>155</v>
      </c>
      <c r="K49" s="19" t="str" cm="1">
        <f t="array" ref="K49">IF(Jars[[#This Row],[Jar]]="", "", IFERROR(_xlfn.XLOOKUP(1, (JarsPlusPlus_1[Jar]=Jars[[#This Row],[Jar]])*(JarsPlusPlus_1[Date Added]=Jars[[#This Row],[Date Made]]), JarsPlusPlus_1[Final pH]), "Unknown"))</f>
        <v>5.5</v>
      </c>
      <c r="L49" s="19" t="str" cm="1">
        <f t="array" ref="L49">IF(Jars[[#This Row],[Jar]]="", "", IFERROR(_xlfn.XLOOKUP(1, (JarsPlusPlus_1[Jar]=Jars[[#This Row],[Jar]])*(JarsPlusPlus_1[Date Added]=Jars[[#This Row],[Date Made]]), JarsPlusPlus_1[Final EC (μS/cm)]), "Unknown"))</f>
        <v>1871</v>
      </c>
      <c r="M49" s="17" t="str">
        <f>IF(Jars[[#This Row],[Jar]]="", "", IFERROR(IFERROR(_xlfn.XLOOKUP(Jars[[#This Row],[Jar]], Growing[Growing Jar], Growing[Status]), _xlfn.XLOOKUP(Jars[[#This Row],[Jar]], Growing[Seeding Jar], Growing[Status])), "Ready"))</f>
        <v>Ready</v>
      </c>
      <c r="P49" s="19" t="s">
        <v>179</v>
      </c>
      <c r="Q49" s="19">
        <f ca="1">IF(Jars[[#This Row],[Jar]]="", "", IFERROR(SUM(_xlfn.XLOOKUP(Jars[[#This Row],[Jar]], JarsPlusPlus_4[Jar], JarsPlusPlus_4[C:Total Water Added (mL)])), "Unknown"))</f>
        <v>1700</v>
      </c>
      <c r="R49" s="17" t="s">
        <v>377</v>
      </c>
      <c r="S49" s="17" t="s">
        <v>378</v>
      </c>
    </row>
    <row r="50" spans="1:19">
      <c r="A50" s="10" t="s">
        <v>532</v>
      </c>
      <c r="B50" s="19" t="s">
        <v>175</v>
      </c>
      <c r="C50" s="19" t="s">
        <v>532</v>
      </c>
      <c r="D50" s="3" t="s">
        <v>458</v>
      </c>
      <c r="E50" s="17" t="str">
        <f>IF(Jars[[#This Row],[Jar Type]]="", "", TEXT(_xlfn.XLOOKUP(Jars[[#This Row],[Jar Type]], Containers!A:A, Containers!C:C), "General"))</f>
        <v>1892.7</v>
      </c>
      <c r="F50" s="19" t="s">
        <v>153</v>
      </c>
      <c r="G50" s="19" t="s">
        <v>531</v>
      </c>
      <c r="H50" s="20" t="str" cm="1">
        <f t="array" ref="H5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50" s="20" t="str" cm="1">
        <f t="array" aca="1" ref="I50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1650</v>
      </c>
      <c r="J50" t="s">
        <v>155</v>
      </c>
      <c r="K50" s="19" t="str" cm="1">
        <f t="array" ref="K50">IF(Jars[[#This Row],[Jar]]="", "", IFERROR(_xlfn.XLOOKUP(1, (JarsPlusPlus_1[Jar]=Jars[[#This Row],[Jar]])*(JarsPlusPlus_1[Date Added]=Jars[[#This Row],[Date Made]]), JarsPlusPlus_1[Final pH]), "Unknown"))</f>
        <v>6.0</v>
      </c>
      <c r="L50" s="19" t="str" cm="1">
        <f t="array" ref="L50">IF(Jars[[#This Row],[Jar]]="", "", IFERROR(_xlfn.XLOOKUP(1, (JarsPlusPlus_1[Jar]=Jars[[#This Row],[Jar]])*(JarsPlusPlus_1[Date Added]=Jars[[#This Row],[Date Made]]), JarsPlusPlus_1[Final EC (μS/cm)]), "Unknown"))</f>
        <v>1942</v>
      </c>
      <c r="M50" s="17" t="str">
        <f>IF(Jars[[#This Row],[Jar]]="", "", IFERROR(IFERROR(_xlfn.XLOOKUP(Jars[[#This Row],[Jar]], Growing[Growing Jar], Growing[Status]), _xlfn.XLOOKUP(Jars[[#This Row],[Jar]], Growing[Seeding Jar], Growing[Status])), "Ready"))</f>
        <v>Ready</v>
      </c>
      <c r="P50" s="8" t="s">
        <v>179</v>
      </c>
      <c r="Q50" s="19">
        <f ca="1">IF(Jars[[#This Row],[Jar]]="", "", IFERROR(SUM(_xlfn.XLOOKUP(Jars[[#This Row],[Jar]], JarsPlusPlus_4[Jar], JarsPlusPlus_4[C:Total Water Added (mL)])), "Unknown"))</f>
        <v>1700</v>
      </c>
      <c r="R50" s="17" t="s">
        <v>377</v>
      </c>
      <c r="S50" s="17" t="s">
        <v>378</v>
      </c>
    </row>
    <row r="51" spans="1:19">
      <c r="A51" s="10" t="s">
        <v>533</v>
      </c>
      <c r="B51" s="17" t="s">
        <v>177</v>
      </c>
      <c r="C51" s="8" t="s">
        <v>238</v>
      </c>
      <c r="D51" s="17" t="s">
        <v>481</v>
      </c>
      <c r="E51" s="17" t="str">
        <f>IF(Jars[[#This Row],[Jar Type]]="", "", TEXT(_xlfn.XLOOKUP(Jars[[#This Row],[Jar Type]], Containers!A:A, Containers!C:C), "General"))</f>
        <v>371</v>
      </c>
      <c r="F51" s="19" t="s">
        <v>153</v>
      </c>
      <c r="G51" s="19" t="s">
        <v>531</v>
      </c>
      <c r="H51" s="20" t="str" cm="1">
        <f t="array" aca="1" ref="H51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0275</v>
      </c>
      <c r="I51" s="20" t="str" cm="1">
        <f t="array" ref="I5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51" t="s">
        <v>155</v>
      </c>
      <c r="K51" s="19" t="str" cm="1">
        <f t="array" ref="K51">IF(Jars[[#This Row],[Jar]]="", "", IFERROR(_xlfn.XLOOKUP(1, (JarsPlusPlus_1[Jar]=Jars[[#This Row],[Jar]])*(JarsPlusPlus_1[Date Added]=Jars[[#This Row],[Date Made]]), JarsPlusPlus_1[Final pH]), "Unknown"))</f>
        <v>5.5</v>
      </c>
      <c r="L51" s="19" t="str" cm="1">
        <f t="array" ref="L51">IF(Jars[[#This Row],[Jar]]="", "", IFERROR(_xlfn.XLOOKUP(1, (JarsPlusPlus_1[Jar]=Jars[[#This Row],[Jar]])*(JarsPlusPlus_1[Date Added]=Jars[[#This Row],[Date Made]]), JarsPlusPlus_1[Final EC (μS/cm)]), "Unknown"))</f>
        <v>1244</v>
      </c>
      <c r="M51" s="17" t="str">
        <f ca="1">IF(Jars[[#This Row],[Jar]]="", "", IFERROR(IFERROR(_xlfn.XLOOKUP(Jars[[#This Row],[Jar]], Growing[Growing Jar], Growing[Status]), _xlfn.XLOOKUP(Jars[[#This Row],[Jar]], Growing[Seeding Jar], Growing[Status])), "Ready"))</f>
        <v>Seeding</v>
      </c>
      <c r="P51" s="8" t="s">
        <v>153</v>
      </c>
      <c r="Q51" s="19">
        <f ca="1">IF(Jars[[#This Row],[Jar]]="", "", IFERROR(SUM(_xlfn.XLOOKUP(Jars[[#This Row],[Jar]], JarsPlusPlus_4[Jar], JarsPlusPlus_4[C:Total Water Added (mL)])), "Unknown"))</f>
        <v>275</v>
      </c>
      <c r="R51" s="20" t="s">
        <v>554</v>
      </c>
      <c r="S51" s="17" t="s">
        <v>378</v>
      </c>
    </row>
    <row r="52" spans="1:19">
      <c r="A52" s="10" t="s">
        <v>537</v>
      </c>
      <c r="B52" s="17" t="s">
        <v>189</v>
      </c>
      <c r="C52" s="8" t="s">
        <v>238</v>
      </c>
      <c r="D52" s="3" t="s">
        <v>481</v>
      </c>
      <c r="E52" s="17" t="str">
        <f>IF(Jars[[#This Row],[Jar Type]]="", "", TEXT(_xlfn.XLOOKUP(Jars[[#This Row],[Jar Type]], Containers!A:A, Containers!C:C), "General"))</f>
        <v>361</v>
      </c>
      <c r="F52" s="19" t="s">
        <v>153</v>
      </c>
      <c r="G52" s="19" t="s">
        <v>531</v>
      </c>
      <c r="H52" s="20" t="str" cm="1">
        <f t="array" aca="1" ref="H52" ca="1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0290</v>
      </c>
      <c r="I52" s="20" t="str" cm="1">
        <f t="array" ref="I52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0000</v>
      </c>
      <c r="J52" t="s">
        <v>155</v>
      </c>
      <c r="K52" s="19" t="str" cm="1">
        <f t="array" ref="K52">IF(Jars[[#This Row],[Jar]]="", "", IFERROR(_xlfn.XLOOKUP(1, (JarsPlusPlus_1[Jar]=Jars[[#This Row],[Jar]])*(JarsPlusPlus_1[Date Added]=Jars[[#This Row],[Date Made]]), JarsPlusPlus_1[Final pH]), "Unknown"))</f>
        <v>6.0</v>
      </c>
      <c r="L52" s="19" t="str" cm="1">
        <f t="array" ref="L52">IF(Jars[[#This Row],[Jar]]="", "", IFERROR(_xlfn.XLOOKUP(1, (JarsPlusPlus_1[Jar]=Jars[[#This Row],[Jar]])*(JarsPlusPlus_1[Date Added]=Jars[[#This Row],[Date Made]]), JarsPlusPlus_1[Final EC (μS/cm)]), "Unknown"))</f>
        <v>1210</v>
      </c>
      <c r="M52" s="17" t="str">
        <f ca="1">IF(Jars[[#This Row],[Jar]]="", "", IFERROR(IFERROR(_xlfn.XLOOKUP(Jars[[#This Row],[Jar]], Growing[Growing Jar], Growing[Status]), _xlfn.XLOOKUP(Jars[[#This Row],[Jar]], Growing[Seeding Jar], Growing[Status])), "Ready"))</f>
        <v>Seeding</v>
      </c>
      <c r="P52" s="8" t="s">
        <v>153</v>
      </c>
      <c r="Q52" s="19">
        <f ca="1">IF(Jars[[#This Row],[Jar]]="", "", IFERROR(SUM(_xlfn.XLOOKUP(Jars[[#This Row],[Jar]], JarsPlusPlus_4[Jar], JarsPlusPlus_4[C:Total Water Added (mL)])), "Unknown"))</f>
        <v>305</v>
      </c>
      <c r="R52" s="20" t="s">
        <v>554</v>
      </c>
      <c r="S52" s="17" t="s">
        <v>378</v>
      </c>
    </row>
    <row r="53" spans="1:19">
      <c r="A53" s="10" t="s">
        <v>542</v>
      </c>
      <c r="B53" s="17" t="s">
        <v>183</v>
      </c>
      <c r="C53" s="8" t="s">
        <v>238</v>
      </c>
      <c r="D53" s="3" t="s">
        <v>481</v>
      </c>
      <c r="E53" s="17" t="str">
        <f>IF(Jars[[#This Row],[Jar Type]]="", "", TEXT(_xlfn.XLOOKUP(Jars[[#This Row],[Jar Type]], Containers!A:A, Containers!C:C), "General"))</f>
        <v>354</v>
      </c>
      <c r="F53" s="19" t="s">
        <v>153</v>
      </c>
      <c r="G53" s="19" t="s">
        <v>531</v>
      </c>
      <c r="H53" s="20" t="str" cm="1">
        <f t="array" ref="H53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>0000</v>
      </c>
      <c r="I53" s="20" t="str" cm="1">
        <f t="array" aca="1" ref="I53" ca="1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>0250</v>
      </c>
      <c r="J53" t="s">
        <v>155</v>
      </c>
      <c r="K53" s="19" t="str" cm="1">
        <f t="array" ref="K53">IF(Jars[[#This Row],[Jar]]="", "", IFERROR(_xlfn.XLOOKUP(1, (JarsPlusPlus_1[Jar]=Jars[[#This Row],[Jar]])*(JarsPlusPlus_1[Date Added]=Jars[[#This Row],[Date Made]]), JarsPlusPlus_1[Final pH]), "Unknown"))</f>
        <v>6.5</v>
      </c>
      <c r="L53" s="19" t="str" cm="1">
        <f t="array" ref="L53">IF(Jars[[#This Row],[Jar]]="", "", IFERROR(_xlfn.XLOOKUP(1, (JarsPlusPlus_1[Jar]=Jars[[#This Row],[Jar]])*(JarsPlusPlus_1[Date Added]=Jars[[#This Row],[Date Made]]), JarsPlusPlus_1[Final EC (μS/cm)]), "Unknown"))</f>
        <v>1135</v>
      </c>
      <c r="M53" s="17" t="str">
        <f ca="1">IF(Jars[[#This Row],[Jar]]="", "", IFERROR(IFERROR(_xlfn.XLOOKUP(Jars[[#This Row],[Jar]], Growing[Growing Jar], Growing[Status]), _xlfn.XLOOKUP(Jars[[#This Row],[Jar]], Growing[Seeding Jar], Growing[Status])), "Ready"))</f>
        <v>Seeding</v>
      </c>
      <c r="P53" s="8" t="s">
        <v>179</v>
      </c>
      <c r="Q53" s="19">
        <f ca="1">IF(Jars[[#This Row],[Jar]]="", "", IFERROR(SUM(_xlfn.XLOOKUP(Jars[[#This Row],[Jar]], JarsPlusPlus_4[Jar], JarsPlusPlus_4[C:Total Water Added (mL)])), "Unknown"))</f>
        <v>250</v>
      </c>
      <c r="R53" s="20" t="s">
        <v>554</v>
      </c>
      <c r="S53" s="17" t="s">
        <v>378</v>
      </c>
    </row>
    <row r="54" spans="1:19">
      <c r="E54" s="17" t="str">
        <f>IF(Jars[[#This Row],[Jar Type]]="", "", TEXT(_xlfn.XLOOKUP(Jars[[#This Row],[Jar Type]], Containers!A:A, Containers!C:C), "General"))</f>
        <v/>
      </c>
      <c r="H54" s="20" t="str" cm="1">
        <f t="array" ref="H54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4" s="20" t="str" cm="1">
        <f t="array" ref="I54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4" s="17" t="str" cm="1">
        <f t="array" ref="K54">IF(Jars[[#This Row],[Jar]]="", "", IFERROR(_xlfn.XLOOKUP(1, (JarsPlusPlus_1[Jar]=Jars[[#This Row],[Jar]])*(JarsPlusPlus_1[Date Added]=Jars[[#This Row],[Date Made]]), JarsPlusPlus_1[Final pH]), "Unknown"))</f>
        <v/>
      </c>
      <c r="L54" s="17" t="str" cm="1">
        <f t="array" ref="L54">IF(Jars[[#This Row],[Jar]]="", "", IFERROR(_xlfn.XLOOKUP(1, (JarsPlusPlus_1[Jar]=Jars[[#This Row],[Jar]])*(JarsPlusPlus_1[Date Added]=Jars[[#This Row],[Date Made]]), JarsPlusPlus_1[Final EC (μS/cm)]), "Unknown"))</f>
        <v/>
      </c>
      <c r="M54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4" s="17" t="str">
        <f>IF(Jars[[#This Row],[Jar]]="", "", IFERROR(SUM(_xlfn.XLOOKUP(Jars[[#This Row],[Jar]], JarsPlusPlus_4[Jar], JarsPlusPlus_4[C:Total Water Added (mL)])), "Unknown"))</f>
        <v/>
      </c>
    </row>
    <row r="55" spans="1:19">
      <c r="E55" s="17" t="str">
        <f>IF(Jars[[#This Row],[Jar Type]]="", "", TEXT(_xlfn.XLOOKUP(Jars[[#This Row],[Jar Type]], Containers!A:A, Containers!C:C), "General"))</f>
        <v/>
      </c>
      <c r="H55" s="20" t="str" cm="1">
        <f t="array" ref="H55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5" s="20" t="str" cm="1">
        <f t="array" ref="I55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5" s="17" t="str" cm="1">
        <f t="array" ref="K55">IF(Jars[[#This Row],[Jar]]="", "", IFERROR(_xlfn.XLOOKUP(1, (JarsPlusPlus_1[Jar]=Jars[[#This Row],[Jar]])*(JarsPlusPlus_1[Date Added]=Jars[[#This Row],[Date Made]]), JarsPlusPlus_1[Final pH]), "Unknown"))</f>
        <v/>
      </c>
      <c r="L55" s="17" t="str" cm="1">
        <f t="array" ref="L55">IF(Jars[[#This Row],[Jar]]="", "", IFERROR(_xlfn.XLOOKUP(1, (JarsPlusPlus_1[Jar]=Jars[[#This Row],[Jar]])*(JarsPlusPlus_1[Date Added]=Jars[[#This Row],[Date Made]]), JarsPlusPlus_1[Final EC (μS/cm)]), "Unknown"))</f>
        <v/>
      </c>
      <c r="M55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5" s="17" t="str">
        <f>IF(Jars[[#This Row],[Jar]]="", "", IFERROR(SUM(_xlfn.XLOOKUP(Jars[[#This Row],[Jar]], JarsPlusPlus_4[Jar], JarsPlusPlus_4[C:Total Water Added (mL)])), "Unknown"))</f>
        <v/>
      </c>
    </row>
    <row r="56" spans="1:19">
      <c r="E56" s="17" t="str">
        <f>IF(Jars[[#This Row],[Jar Type]]="", "", TEXT(_xlfn.XLOOKUP(Jars[[#This Row],[Jar Type]], Containers!A:A, Containers!C:C), "General"))</f>
        <v/>
      </c>
      <c r="H56" s="20" t="str" cm="1">
        <f t="array" ref="H56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6" s="20" t="str" cm="1">
        <f t="array" ref="I56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6" s="17" t="str" cm="1">
        <f t="array" ref="K56">IF(Jars[[#This Row],[Jar]]="", "", IFERROR(_xlfn.XLOOKUP(1, (JarsPlusPlus_1[Jar]=Jars[[#This Row],[Jar]])*(JarsPlusPlus_1[Date Added]=Jars[[#This Row],[Date Made]]), JarsPlusPlus_1[Final pH]), "Unknown"))</f>
        <v/>
      </c>
      <c r="L56" s="17" t="str" cm="1">
        <f t="array" ref="L56">IF(Jars[[#This Row],[Jar]]="", "", IFERROR(_xlfn.XLOOKUP(1, (JarsPlusPlus_1[Jar]=Jars[[#This Row],[Jar]])*(JarsPlusPlus_1[Date Added]=Jars[[#This Row],[Date Made]]), JarsPlusPlus_1[Final EC (μS/cm)]), "Unknown"))</f>
        <v/>
      </c>
      <c r="M56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6" s="17" t="str">
        <f>IF(Jars[[#This Row],[Jar]]="", "", IFERROR(SUM(_xlfn.XLOOKUP(Jars[[#This Row],[Jar]], JarsPlusPlus_4[Jar], JarsPlusPlus_4[C:Total Water Added (mL)])), "Unknown"))</f>
        <v/>
      </c>
    </row>
    <row r="57" spans="1:19">
      <c r="E57" s="17" t="str">
        <f>IF(Jars[[#This Row],[Jar Type]]="", "", TEXT(_xlfn.XLOOKUP(Jars[[#This Row],[Jar Type]], Containers!A:A, Containers!C:C), "General"))</f>
        <v/>
      </c>
      <c r="H57" s="20" t="str" cm="1">
        <f t="array" ref="H57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7" s="20" t="str" cm="1">
        <f t="array" ref="I57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7" s="17" t="str" cm="1">
        <f t="array" ref="K57">IF(Jars[[#This Row],[Jar]]="", "", IFERROR(_xlfn.XLOOKUP(1, (JarsPlusPlus_1[Jar]=Jars[[#This Row],[Jar]])*(JarsPlusPlus_1[Date Added]=Jars[[#This Row],[Date Made]]), JarsPlusPlus_1[Final pH]), "Unknown"))</f>
        <v/>
      </c>
      <c r="L57" s="17" t="str" cm="1">
        <f t="array" ref="L57">IF(Jars[[#This Row],[Jar]]="", "", IFERROR(_xlfn.XLOOKUP(1, (JarsPlusPlus_1[Jar]=Jars[[#This Row],[Jar]])*(JarsPlusPlus_1[Date Added]=Jars[[#This Row],[Date Made]]), JarsPlusPlus_1[Final EC (μS/cm)]), "Unknown"))</f>
        <v/>
      </c>
      <c r="M57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7" s="17" t="str">
        <f>IF(Jars[[#This Row],[Jar]]="", "", IFERROR(SUM(_xlfn.XLOOKUP(Jars[[#This Row],[Jar]], JarsPlusPlus_4[Jar], JarsPlusPlus_4[C:Total Water Added (mL)])), "Unknown"))</f>
        <v/>
      </c>
    </row>
    <row r="58" spans="1:19">
      <c r="E58" s="17" t="str">
        <f>IF(Jars[[#This Row],[Jar Type]]="", "", TEXT(_xlfn.XLOOKUP(Jars[[#This Row],[Jar Type]], Containers!A:A, Containers!C:C), "General"))</f>
        <v/>
      </c>
      <c r="H58" s="20" t="str" cm="1">
        <f t="array" ref="H58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8" s="20" t="str" cm="1">
        <f t="array" ref="I58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8" s="17" t="str" cm="1">
        <f t="array" ref="K58">IF(Jars[[#This Row],[Jar]]="", "", IFERROR(_xlfn.XLOOKUP(1, (JarsPlusPlus_1[Jar]=Jars[[#This Row],[Jar]])*(JarsPlusPlus_1[Date Added]=Jars[[#This Row],[Date Made]]), JarsPlusPlus_1[Final pH]), "Unknown"))</f>
        <v/>
      </c>
      <c r="L58" s="17" t="str" cm="1">
        <f t="array" ref="L58">IF(Jars[[#This Row],[Jar]]="", "", IFERROR(_xlfn.XLOOKUP(1, (JarsPlusPlus_1[Jar]=Jars[[#This Row],[Jar]])*(JarsPlusPlus_1[Date Added]=Jars[[#This Row],[Date Made]]), JarsPlusPlus_1[Final EC (μS/cm)]), "Unknown"))</f>
        <v/>
      </c>
      <c r="M58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8" s="17" t="str">
        <f>IF(Jars[[#This Row],[Jar]]="", "", IFERROR(SUM(_xlfn.XLOOKUP(Jars[[#This Row],[Jar]], JarsPlusPlus_4[Jar], JarsPlusPlus_4[C:Total Water Added (mL)])), "Unknown"))</f>
        <v/>
      </c>
    </row>
    <row r="59" spans="1:19">
      <c r="E59" s="17" t="str">
        <f>IF(Jars[[#This Row],[Jar Type]]="", "", TEXT(_xlfn.XLOOKUP(Jars[[#This Row],[Jar Type]], Containers!A:A, Containers!C:C), "General"))</f>
        <v/>
      </c>
      <c r="H59" s="20" t="str" cm="1">
        <f t="array" ref="H59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59" s="20" t="str" cm="1">
        <f t="array" ref="I59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59" s="17" t="str" cm="1">
        <f t="array" ref="K59">IF(Jars[[#This Row],[Jar]]="", "", IFERROR(_xlfn.XLOOKUP(1, (JarsPlusPlus_1[Jar]=Jars[[#This Row],[Jar]])*(JarsPlusPlus_1[Date Added]=Jars[[#This Row],[Date Made]]), JarsPlusPlus_1[Final pH]), "Unknown"))</f>
        <v/>
      </c>
      <c r="L59" s="17" t="str" cm="1">
        <f t="array" ref="L59">IF(Jars[[#This Row],[Jar]]="", "", IFERROR(_xlfn.XLOOKUP(1, (JarsPlusPlus_1[Jar]=Jars[[#This Row],[Jar]])*(JarsPlusPlus_1[Date Added]=Jars[[#This Row],[Date Made]]), JarsPlusPlus_1[Final EC (μS/cm)]), "Unknown"))</f>
        <v/>
      </c>
      <c r="M59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59" s="17" t="str">
        <f>IF(Jars[[#This Row],[Jar]]="", "", IFERROR(SUM(_xlfn.XLOOKUP(Jars[[#This Row],[Jar]], JarsPlusPlus_4[Jar], JarsPlusPlus_4[C:Total Water Added (mL)])), "Unknown"))</f>
        <v/>
      </c>
    </row>
    <row r="60" spans="1:19">
      <c r="E60" s="17" t="str">
        <f>IF(Jars[[#This Row],[Jar Type]]="", "", TEXT(_xlfn.XLOOKUP(Jars[[#This Row],[Jar Type]], Containers!A:A, Containers!C:C), "General"))</f>
        <v/>
      </c>
      <c r="H60" s="20" t="str" cm="1">
        <f t="array" ref="H60">IF(_xlfn.SINGLE(Jars[Jar Type])="", "", TEXT(IFERROR(MEDIAN(_xlfn._xlws.FILTER(VALUE(Jars[Total Water Added (mL)]), (Jars[Jar Purpose]=Jars[[#This Row],[Jar Purpose]])*(Jars[Jar Type]=Jars[[#This Row],[Jar Type]])*(_xlfn.SINGLE(Jars[Water Added?])="1"))), 0), "0000"))</f>
        <v/>
      </c>
      <c r="I60" s="20" t="str" cm="1">
        <f t="array" ref="I60">IF(_xlfn.SINGLE(Jars[Jar Type])="", "", TEXT(IFERROR(MEDIAN(_xlfn._xlws.FILTER(VALUE(Jars[Total Water Added (mL)]), (Jars[Jar Purpose]=Jars[[#This Row],[Jar Purpose]])*(Jars[Jar Type]=Jars[[#This Row],[Jar Type]])*(_xlfn.SINGLE(Jars[Water Added?])="0"))), 0), "0000"))</f>
        <v/>
      </c>
      <c r="K60" s="17" t="str" cm="1">
        <f t="array" ref="K60">IF(Jars[[#This Row],[Jar]]="", "", IFERROR(_xlfn.XLOOKUP(1, (JarsPlusPlus_1[Jar]=Jars[[#This Row],[Jar]])*(JarsPlusPlus_1[Date Added]=Jars[[#This Row],[Date Made]]), JarsPlusPlus_1[Final pH]), "Unknown"))</f>
        <v/>
      </c>
      <c r="L60" s="17" t="str" cm="1">
        <f t="array" ref="L60">IF(Jars[[#This Row],[Jar]]="", "", IFERROR(_xlfn.XLOOKUP(1, (JarsPlusPlus_1[Jar]=Jars[[#This Row],[Jar]])*(JarsPlusPlus_1[Date Added]=Jars[[#This Row],[Date Made]]), JarsPlusPlus_1[Final EC (μS/cm)]), "Unknown"))</f>
        <v/>
      </c>
      <c r="M60" s="17" t="str">
        <f>IF(Jars[[#This Row],[Jar]]="", "", IFERROR(IFERROR(_xlfn.XLOOKUP(Jars[[#This Row],[Jar]], Growing[Growing Jar], Growing[Status]), _xlfn.XLOOKUP(Jars[[#This Row],[Jar]], Growing[Seeding Jar], Growing[Status])), "Ready"))</f>
        <v/>
      </c>
      <c r="Q60" s="17" t="str">
        <f>IF(Jars[[#This Row],[Jar]]="", "", IFERROR(SUM(_xlfn.XLOOKUP(Jars[[#This Row],[Jar]], JarsPlusPlus_4[Jar], JarsPlusPlus_4[C:Total Water Added (mL)])), "Unknown"))</f>
        <v/>
      </c>
    </row>
  </sheetData>
  <conditionalFormatting sqref="A11:Y999999">
    <cfRule type="expression" dxfId="223" priority="8">
      <formula>AND(A11="", $A11&lt;&gt;"", A$10&lt;&gt;"")</formula>
    </cfRule>
  </conditionalFormatting>
  <conditionalFormatting sqref="N11:Q27">
    <cfRule type="expression" dxfId="222" priority="319">
      <formula>AND(#REF!="",$A11&lt;&gt;"")</formula>
    </cfRule>
  </conditionalFormatting>
  <conditionalFormatting sqref="A11:Y999999">
    <cfRule type="expression" dxfId="221" priority="1">
      <formula>_xlfn.ISFORMULA(A11)</formula>
    </cfRule>
  </conditionalFormatting>
  <conditionalFormatting sqref="N11:Q27">
    <cfRule type="expression" dxfId="220" priority="325">
      <formula>AND($L11="",#REF!&lt;&gt;"")</formula>
    </cfRule>
  </conditionalFormatting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24DC-39B3-464D-B5DC-4CCFDA7619C0}">
  <dimension ref="A1:AG66"/>
  <sheetViews>
    <sheetView workbookViewId="0">
      <pane xSplit="2" topLeftCell="Z1" activePane="topRight" state="frozen"/>
      <selection pane="topRight"/>
    </sheetView>
  </sheetViews>
  <sheetFormatPr defaultRowHeight="15"/>
  <cols>
    <col min="1" max="1" width="13.5703125" style="1" customWidth="1"/>
    <col min="2" max="2" width="13.7109375" style="5" customWidth="1"/>
    <col min="3" max="3" width="41.7109375" style="17" customWidth="1"/>
    <col min="4" max="4" width="14.28515625" style="1" customWidth="1"/>
    <col min="5" max="5" width="13.28515625" style="1" customWidth="1"/>
    <col min="6" max="6" width="53.5703125" style="1" customWidth="1"/>
    <col min="7" max="7" width="10" style="1" customWidth="1"/>
    <col min="8" max="8" width="23.140625" style="1" customWidth="1"/>
    <col min="9" max="9" width="23" style="5" customWidth="1"/>
    <col min="10" max="10" width="22.28515625" style="5" customWidth="1"/>
    <col min="11" max="11" width="28.5703125" style="5" customWidth="1"/>
    <col min="12" max="12" width="22.28515625" style="5" customWidth="1"/>
    <col min="13" max="13" width="24.28515625" style="1" bestFit="1" customWidth="1"/>
    <col min="14" max="14" width="18.28515625" style="5" customWidth="1"/>
    <col min="15" max="15" width="19.28515625" style="1" customWidth="1"/>
    <col min="16" max="16" width="20" style="1" customWidth="1"/>
    <col min="17" max="17" width="22.5703125" style="1" customWidth="1"/>
    <col min="18" max="18" width="24.28515625" style="1" customWidth="1"/>
    <col min="19" max="19" width="23.85546875" style="1" customWidth="1"/>
    <col min="20" max="20" width="20.5703125" style="1" customWidth="1"/>
    <col min="21" max="21" width="23.28515625" style="1" customWidth="1"/>
    <col min="22" max="22" width="25.5703125" style="1" customWidth="1"/>
    <col min="23" max="23" width="25.28515625" style="1" customWidth="1"/>
    <col min="24" max="24" width="17.5703125" style="1" customWidth="1"/>
    <col min="25" max="25" width="17.85546875" style="1" customWidth="1"/>
    <col min="26" max="26" width="24.85546875" style="1" customWidth="1"/>
    <col min="27" max="27" width="25.7109375" style="1" customWidth="1"/>
    <col min="28" max="30" width="17.85546875" style="1" customWidth="1"/>
    <col min="31" max="31" width="16.7109375" style="1" customWidth="1"/>
    <col min="32" max="32" width="19.5703125" style="1" customWidth="1"/>
    <col min="33" max="33" width="160.42578125" style="1" customWidth="1"/>
    <col min="34" max="16384" width="9.140625" style="1"/>
  </cols>
  <sheetData>
    <row r="1" spans="1:33">
      <c r="A1" s="1" t="s">
        <v>555</v>
      </c>
      <c r="C1" s="3" t="s">
        <v>556</v>
      </c>
      <c r="K1" s="3" t="s">
        <v>557</v>
      </c>
      <c r="O1" s="1" t="s">
        <v>374</v>
      </c>
      <c r="AB1" s="1" t="s">
        <v>14</v>
      </c>
      <c r="AC1" s="3" t="s">
        <v>14</v>
      </c>
      <c r="AD1" s="3" t="s">
        <v>14</v>
      </c>
    </row>
    <row r="2" spans="1:33">
      <c r="O2" s="3" t="s">
        <v>558</v>
      </c>
      <c r="AB2" s="1" t="s">
        <v>21</v>
      </c>
      <c r="AC2" s="1" t="s">
        <v>559</v>
      </c>
      <c r="AD2" s="1" t="s">
        <v>22</v>
      </c>
    </row>
    <row r="3" spans="1:33">
      <c r="O3" s="3" t="s">
        <v>560</v>
      </c>
      <c r="AB3" s="1" t="s">
        <v>28</v>
      </c>
      <c r="AC3" s="1" t="s">
        <v>561</v>
      </c>
      <c r="AD3" s="1" t="s">
        <v>29</v>
      </c>
    </row>
    <row r="4" spans="1:33">
      <c r="AB4" s="1" t="s">
        <v>562</v>
      </c>
      <c r="AC4" s="1" t="s">
        <v>563</v>
      </c>
      <c r="AD4" s="3" t="s">
        <v>36</v>
      </c>
    </row>
    <row r="5" spans="1:33">
      <c r="AB5" s="1" t="s">
        <v>41</v>
      </c>
      <c r="AD5" s="3" t="s">
        <v>42</v>
      </c>
    </row>
    <row r="6" spans="1:33">
      <c r="AB6" s="1" t="s">
        <v>564</v>
      </c>
    </row>
    <row r="7" spans="1:33">
      <c r="AB7" s="3" t="s">
        <v>50</v>
      </c>
    </row>
    <row r="8" spans="1:33">
      <c r="AB8" s="3" t="s">
        <v>35</v>
      </c>
    </row>
    <row r="9" spans="1:33">
      <c r="C9" s="17" t="s">
        <v>565</v>
      </c>
      <c r="D9" s="1" t="s">
        <v>336</v>
      </c>
      <c r="K9" s="3"/>
      <c r="N9" s="5" t="s">
        <v>566</v>
      </c>
      <c r="O9" s="1" t="s">
        <v>336</v>
      </c>
    </row>
    <row r="10" spans="1:33">
      <c r="A10" s="4" t="s">
        <v>567</v>
      </c>
      <c r="B10" s="11" t="s">
        <v>568</v>
      </c>
      <c r="C10" s="17" t="s">
        <v>569</v>
      </c>
      <c r="D10" s="4" t="s">
        <v>570</v>
      </c>
      <c r="E10" s="1" t="s">
        <v>571</v>
      </c>
      <c r="F10" s="1" t="s">
        <v>572</v>
      </c>
      <c r="G10" s="1" t="s">
        <v>286</v>
      </c>
      <c r="H10" s="4" t="s">
        <v>573</v>
      </c>
      <c r="I10" s="11" t="s">
        <v>574</v>
      </c>
      <c r="J10" s="11" t="s">
        <v>575</v>
      </c>
      <c r="K10" s="11" t="s">
        <v>576</v>
      </c>
      <c r="L10" s="11" t="s">
        <v>577</v>
      </c>
      <c r="M10" s="1" t="s">
        <v>578</v>
      </c>
      <c r="N10" s="5" t="s">
        <v>579</v>
      </c>
      <c r="O10" s="4" t="s">
        <v>580</v>
      </c>
      <c r="P10" s="4" t="s">
        <v>581</v>
      </c>
      <c r="Q10" s="4" t="s">
        <v>582</v>
      </c>
      <c r="R10" s="4" t="s">
        <v>583</v>
      </c>
      <c r="S10" s="4" t="s">
        <v>584</v>
      </c>
      <c r="T10" s="15" t="s">
        <v>585</v>
      </c>
      <c r="U10" s="4" t="s">
        <v>586</v>
      </c>
      <c r="V10" s="4" t="s">
        <v>587</v>
      </c>
      <c r="W10" s="4" t="s">
        <v>588</v>
      </c>
      <c r="X10" s="4" t="s">
        <v>589</v>
      </c>
      <c r="Y10" s="4" t="s">
        <v>590</v>
      </c>
      <c r="Z10" s="4" t="s">
        <v>591</v>
      </c>
      <c r="AA10" s="4" t="s">
        <v>592</v>
      </c>
      <c r="AB10" s="4" t="s">
        <v>6</v>
      </c>
      <c r="AC10" s="4" t="s">
        <v>593</v>
      </c>
      <c r="AD10" s="4" t="s">
        <v>7</v>
      </c>
      <c r="AE10" s="4" t="s">
        <v>594</v>
      </c>
      <c r="AF10" s="4" t="s">
        <v>595</v>
      </c>
      <c r="AG10" s="1" t="s">
        <v>106</v>
      </c>
    </row>
    <row r="11" spans="1:33">
      <c r="A11" s="6" t="s">
        <v>153</v>
      </c>
      <c r="B11" s="6" t="s">
        <v>153</v>
      </c>
      <c r="C1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Romaine Calm</v>
      </c>
      <c r="D11" s="1" t="s">
        <v>14</v>
      </c>
      <c r="E11" s="6" t="s">
        <v>161</v>
      </c>
      <c r="F11" s="1" t="s">
        <v>596</v>
      </c>
      <c r="G11" s="1" t="s">
        <v>300</v>
      </c>
      <c r="H11" s="1" t="s">
        <v>153</v>
      </c>
      <c r="I11" s="5" t="str">
        <f>IF(D11="", "", IF(D11="Unknown", "Unknown", TEXT(D11+_xlfn.XLOOKUP(G11,Seeds!A:A,Seeds!I:I),"yyyy-MM-dd")&amp;"—"&amp;TEXT(D11+_xlfn.XLOOKUP(G11,Seeds!A:A,Seeds!J:J),"yyyy-MM-dd")))</f>
        <v>Unknown</v>
      </c>
      <c r="J11" s="5" t="s">
        <v>14</v>
      </c>
      <c r="K11" s="5" t="s">
        <v>14</v>
      </c>
      <c r="L11" s="5" t="s">
        <v>374</v>
      </c>
      <c r="M11" s="1">
        <v>1</v>
      </c>
      <c r="N1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1" s="1" t="s">
        <v>560</v>
      </c>
      <c r="P11" s="1" t="s">
        <v>597</v>
      </c>
      <c r="Q11" s="1" t="s">
        <v>14</v>
      </c>
      <c r="R11" s="3" t="s">
        <v>14</v>
      </c>
      <c r="S11" s="3" t="s">
        <v>14</v>
      </c>
      <c r="T11" s="6" t="s">
        <v>598</v>
      </c>
      <c r="U11" s="3" t="s">
        <v>14</v>
      </c>
      <c r="V11" s="3" t="s">
        <v>14</v>
      </c>
      <c r="W11" s="3" t="s">
        <v>14</v>
      </c>
      <c r="X11" s="1" t="s">
        <v>598</v>
      </c>
      <c r="Y11" s="1" t="s">
        <v>599</v>
      </c>
      <c r="Z11" s="3" t="s">
        <v>14</v>
      </c>
      <c r="AA11" s="3" t="s">
        <v>14</v>
      </c>
      <c r="AB11" s="3" t="s">
        <v>14</v>
      </c>
      <c r="AC11" s="3" t="s">
        <v>14</v>
      </c>
      <c r="AD11" s="3" t="s">
        <v>14</v>
      </c>
      <c r="AE11" s="1" t="s">
        <v>544</v>
      </c>
      <c r="AF11" s="1" t="s">
        <v>376</v>
      </c>
      <c r="AG11" s="1" t="s">
        <v>600</v>
      </c>
    </row>
    <row r="12" spans="1:33">
      <c r="A12" s="8" t="s">
        <v>157</v>
      </c>
      <c r="B12" s="8" t="s">
        <v>157</v>
      </c>
      <c r="C1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Leaf Quickly</v>
      </c>
      <c r="D12" s="3" t="s">
        <v>14</v>
      </c>
      <c r="E12" s="6" t="s">
        <v>161</v>
      </c>
      <c r="F12" s="3" t="s">
        <v>596</v>
      </c>
      <c r="G12" s="1" t="s">
        <v>300</v>
      </c>
      <c r="H12" s="1" t="s">
        <v>153</v>
      </c>
      <c r="I12" s="12" t="str">
        <f>IF(D12="", "", IF(D12="Unknown", "Unknown", TEXT(D12+_xlfn.XLOOKUP(G12,Seeds!A:A,Seeds!I:I),"yyyy-MM-dd")&amp;"—"&amp;TEXT(D12+_xlfn.XLOOKUP(G12,Seeds!A:A,Seeds!J:J),"yyyy-MM-dd")))</f>
        <v>Unknown</v>
      </c>
      <c r="J12" s="3" t="s">
        <v>14</v>
      </c>
      <c r="K12" s="3" t="s">
        <v>14</v>
      </c>
      <c r="L12" s="3" t="s">
        <v>374</v>
      </c>
      <c r="M12" s="1">
        <v>1</v>
      </c>
      <c r="N1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2" s="3" t="s">
        <v>558</v>
      </c>
      <c r="P12" s="1" t="s">
        <v>597</v>
      </c>
      <c r="Q12" s="3" t="s">
        <v>14</v>
      </c>
      <c r="R12" s="3" t="s">
        <v>14</v>
      </c>
      <c r="S12" s="3" t="s">
        <v>14</v>
      </c>
      <c r="T12" s="3" t="s">
        <v>374</v>
      </c>
      <c r="U12" s="3" t="s">
        <v>374</v>
      </c>
      <c r="V12" s="3" t="s">
        <v>374</v>
      </c>
      <c r="W12" s="3" t="s">
        <v>374</v>
      </c>
      <c r="X12" s="1" t="s">
        <v>597</v>
      </c>
      <c r="Y12" s="1" t="s">
        <v>601</v>
      </c>
      <c r="Z12" s="3" t="s">
        <v>14</v>
      </c>
      <c r="AA12" s="3" t="s">
        <v>374</v>
      </c>
      <c r="AB12" s="3" t="s">
        <v>14</v>
      </c>
      <c r="AC12" s="3" t="s">
        <v>14</v>
      </c>
      <c r="AD12" s="3" t="s">
        <v>14</v>
      </c>
      <c r="AE12" s="1" t="s">
        <v>544</v>
      </c>
      <c r="AF12" s="1" t="s">
        <v>381</v>
      </c>
      <c r="AG12" s="3" t="s">
        <v>602</v>
      </c>
    </row>
    <row r="13" spans="1:33">
      <c r="A13" s="8" t="s">
        <v>161</v>
      </c>
      <c r="B13" s="8" t="s">
        <v>161</v>
      </c>
      <c r="C13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Toss Boss</v>
      </c>
      <c r="D13" s="3" t="s">
        <v>14</v>
      </c>
      <c r="E13" s="6" t="s">
        <v>161</v>
      </c>
      <c r="F13" s="3" t="s">
        <v>596</v>
      </c>
      <c r="G13" s="1" t="s">
        <v>300</v>
      </c>
      <c r="H13" s="1" t="s">
        <v>153</v>
      </c>
      <c r="I13" s="12" t="str">
        <f>IF(D13="", "", IF(D13="Unknown", "Unknown", TEXT(D13+_xlfn.XLOOKUP(G13,Seeds!A:A,Seeds!I:I),"yyyy-MM-dd")&amp;"—"&amp;TEXT(D13+_xlfn.XLOOKUP(G13,Seeds!A:A,Seeds!J:J),"yyyy-MM-dd")))</f>
        <v>Unknown</v>
      </c>
      <c r="J13" s="3" t="s">
        <v>14</v>
      </c>
      <c r="K13" s="5" t="s">
        <v>14</v>
      </c>
      <c r="L13" s="3" t="s">
        <v>374</v>
      </c>
      <c r="M13" s="1">
        <v>1</v>
      </c>
      <c r="N1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3" s="3" t="s">
        <v>558</v>
      </c>
      <c r="P13" s="1" t="s">
        <v>597</v>
      </c>
      <c r="Q13" s="3" t="s">
        <v>14</v>
      </c>
      <c r="R13" s="3" t="s">
        <v>14</v>
      </c>
      <c r="S13" s="3" t="s">
        <v>14</v>
      </c>
      <c r="T13" s="1" t="s">
        <v>374</v>
      </c>
      <c r="U13" s="3" t="s">
        <v>374</v>
      </c>
      <c r="V13" s="3" t="s">
        <v>374</v>
      </c>
      <c r="W13" s="3" t="s">
        <v>374</v>
      </c>
      <c r="X13" s="1" t="s">
        <v>597</v>
      </c>
      <c r="Y13" s="1" t="s">
        <v>601</v>
      </c>
      <c r="Z13" s="3" t="s">
        <v>14</v>
      </c>
      <c r="AA13" s="3" t="s">
        <v>374</v>
      </c>
      <c r="AB13" s="3" t="s">
        <v>14</v>
      </c>
      <c r="AC13" s="3" t="s">
        <v>14</v>
      </c>
      <c r="AD13" s="3" t="s">
        <v>14</v>
      </c>
      <c r="AE13" s="1" t="s">
        <v>398</v>
      </c>
      <c r="AF13" s="1" t="s">
        <v>388</v>
      </c>
      <c r="AG13" s="3" t="s">
        <v>602</v>
      </c>
    </row>
    <row r="14" spans="1:33">
      <c r="A14" s="8" t="s">
        <v>389</v>
      </c>
      <c r="B14" s="8" t="s">
        <v>389</v>
      </c>
      <c r="C14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Lettuce Bee Bold</v>
      </c>
      <c r="D14" s="3" t="s">
        <v>14</v>
      </c>
      <c r="E14" s="6" t="s">
        <v>161</v>
      </c>
      <c r="F14" s="3" t="s">
        <v>596</v>
      </c>
      <c r="G14" s="1" t="s">
        <v>300</v>
      </c>
      <c r="H14" s="1" t="s">
        <v>153</v>
      </c>
      <c r="I14" s="12" t="str">
        <f>IF(D14="", "", IF(D14="Unknown", "Unknown", TEXT(D14+_xlfn.XLOOKUP(G14,Seeds!A:A,Seeds!I:I),"yyyy-MM-dd")&amp;"—"&amp;TEXT(D14+_xlfn.XLOOKUP(G14,Seeds!A:A,Seeds!J:J),"yyyy-MM-dd")))</f>
        <v>Unknown</v>
      </c>
      <c r="J14" s="3" t="s">
        <v>14</v>
      </c>
      <c r="K14" s="5" t="s">
        <v>14</v>
      </c>
      <c r="L14" s="3" t="s">
        <v>374</v>
      </c>
      <c r="M14" s="1">
        <v>1</v>
      </c>
      <c r="N1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4" s="3" t="s">
        <v>560</v>
      </c>
      <c r="P14" s="1" t="s">
        <v>597</v>
      </c>
      <c r="Q14" s="3" t="s">
        <v>14</v>
      </c>
      <c r="R14" s="3" t="s">
        <v>14</v>
      </c>
      <c r="S14" s="3" t="s">
        <v>14</v>
      </c>
      <c r="T14" s="6" t="s">
        <v>598</v>
      </c>
      <c r="U14" s="3" t="s">
        <v>14</v>
      </c>
      <c r="V14" s="3" t="s">
        <v>14</v>
      </c>
      <c r="W14" s="3" t="s">
        <v>14</v>
      </c>
      <c r="X14" s="1" t="s">
        <v>598</v>
      </c>
      <c r="Y14" s="1" t="s">
        <v>599</v>
      </c>
      <c r="Z14" s="3" t="s">
        <v>14</v>
      </c>
      <c r="AA14" s="3" t="s">
        <v>14</v>
      </c>
      <c r="AB14" s="3" t="s">
        <v>14</v>
      </c>
      <c r="AC14" s="3" t="s">
        <v>14</v>
      </c>
      <c r="AD14" s="3" t="s">
        <v>14</v>
      </c>
      <c r="AE14" s="1" t="s">
        <v>398</v>
      </c>
      <c r="AF14" s="1" t="s">
        <v>178</v>
      </c>
      <c r="AG14" s="3" t="s">
        <v>600</v>
      </c>
    </row>
    <row r="15" spans="1:33">
      <c r="A15" s="8" t="s">
        <v>326</v>
      </c>
      <c r="B15" s="8" t="s">
        <v>326</v>
      </c>
      <c r="C15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Dressed for Success</v>
      </c>
      <c r="D15" s="3" t="s">
        <v>14</v>
      </c>
      <c r="E15" s="6" t="s">
        <v>161</v>
      </c>
      <c r="F15" s="1" t="s">
        <v>596</v>
      </c>
      <c r="G15" s="1" t="s">
        <v>322</v>
      </c>
      <c r="H15" s="1" t="s">
        <v>153</v>
      </c>
      <c r="I15" s="12" t="str">
        <f>IF(D15="", "", IF(D15="Unknown", "Unknown", TEXT(D15+_xlfn.XLOOKUP(G15,Seeds!A:A,Seeds!I:I),"yyyy-MM-dd")&amp;"—"&amp;TEXT(D15+_xlfn.XLOOKUP(G15,Seeds!A:A,Seeds!J:J),"yyyy-MM-dd")))</f>
        <v>Unknown</v>
      </c>
      <c r="J15" s="3" t="s">
        <v>14</v>
      </c>
      <c r="K15" s="5" t="s">
        <v>14</v>
      </c>
      <c r="L15" s="3" t="s">
        <v>374</v>
      </c>
      <c r="M15" s="1">
        <v>1</v>
      </c>
      <c r="N1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5" s="1" t="s">
        <v>374</v>
      </c>
      <c r="P15" s="2" t="s">
        <v>374</v>
      </c>
      <c r="Q15" s="3" t="s">
        <v>374</v>
      </c>
      <c r="R15" s="3" t="s">
        <v>374</v>
      </c>
      <c r="S15" s="3" t="s">
        <v>374</v>
      </c>
      <c r="T15" s="1" t="s">
        <v>374</v>
      </c>
      <c r="U15" s="3" t="s">
        <v>374</v>
      </c>
      <c r="V15" s="3" t="s">
        <v>374</v>
      </c>
      <c r="W15" s="3" t="s">
        <v>374</v>
      </c>
      <c r="X15" s="1" t="s">
        <v>597</v>
      </c>
      <c r="Y15" s="3" t="s">
        <v>603</v>
      </c>
      <c r="Z15" s="3" t="s">
        <v>374</v>
      </c>
      <c r="AA15" s="3" t="s">
        <v>374</v>
      </c>
      <c r="AB15" s="3" t="s">
        <v>14</v>
      </c>
      <c r="AC15" s="3" t="s">
        <v>14</v>
      </c>
      <c r="AD15" s="3" t="s">
        <v>14</v>
      </c>
      <c r="AE15" s="1" t="s">
        <v>385</v>
      </c>
      <c r="AF15" s="2" t="s">
        <v>397</v>
      </c>
      <c r="AG15" s="1" t="s">
        <v>604</v>
      </c>
    </row>
    <row r="16" spans="1:33">
      <c r="A16" s="8" t="s">
        <v>398</v>
      </c>
      <c r="B16" s="8" t="s">
        <v>398</v>
      </c>
      <c r="C16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Chop Chop Real Smooth</v>
      </c>
      <c r="D16" s="3" t="s">
        <v>14</v>
      </c>
      <c r="E16" s="6" t="s">
        <v>161</v>
      </c>
      <c r="F16" s="1" t="s">
        <v>605</v>
      </c>
      <c r="G16" s="1" t="s">
        <v>310</v>
      </c>
      <c r="H16" s="1" t="s">
        <v>153</v>
      </c>
      <c r="I16" s="12" t="str">
        <f>IF(D16="", "", IF(D16="Unknown", "Unknown", TEXT(D16+_xlfn.XLOOKUP(G16,Seeds!A:A,Seeds!I:I),"yyyy-MM-dd")&amp;"—"&amp;TEXT(D16+_xlfn.XLOOKUP(G16,Seeds!A:A,Seeds!J:J),"yyyy-MM-dd")))</f>
        <v>Unknown</v>
      </c>
      <c r="J16" s="3" t="s">
        <v>14</v>
      </c>
      <c r="K16" s="5" t="s">
        <v>14</v>
      </c>
      <c r="L16" s="3" t="s">
        <v>374</v>
      </c>
      <c r="M16" s="1">
        <v>1</v>
      </c>
      <c r="N1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6" s="3" t="s">
        <v>558</v>
      </c>
      <c r="P16" s="7" t="s">
        <v>606</v>
      </c>
      <c r="Q16" s="3" t="s">
        <v>14</v>
      </c>
      <c r="R16" s="8" t="s">
        <v>607</v>
      </c>
      <c r="S16" s="3" t="s">
        <v>14</v>
      </c>
      <c r="T16" s="1" t="s">
        <v>374</v>
      </c>
      <c r="U16" s="1" t="s">
        <v>374</v>
      </c>
      <c r="V16" s="1" t="s">
        <v>374</v>
      </c>
      <c r="W16" s="1" t="s">
        <v>374</v>
      </c>
      <c r="X16" s="7" t="s">
        <v>606</v>
      </c>
      <c r="Y16" s="1" t="s">
        <v>601</v>
      </c>
      <c r="Z16" s="3" t="s">
        <v>14</v>
      </c>
      <c r="AA16" s="1" t="s">
        <v>374</v>
      </c>
      <c r="AB16" s="3" t="s">
        <v>14</v>
      </c>
      <c r="AC16" s="3" t="s">
        <v>14</v>
      </c>
      <c r="AD16" s="3" t="s">
        <v>14</v>
      </c>
      <c r="AE16" s="1" t="s">
        <v>544</v>
      </c>
      <c r="AF16" s="2" t="s">
        <v>403</v>
      </c>
      <c r="AG16" s="3" t="s">
        <v>602</v>
      </c>
    </row>
    <row r="17" spans="1:33">
      <c r="A17" s="8" t="s">
        <v>404</v>
      </c>
      <c r="B17" s="8" t="s">
        <v>404</v>
      </c>
      <c r="C17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 Duck Produce!</v>
      </c>
      <c r="D17" s="3" t="s">
        <v>14</v>
      </c>
      <c r="E17" s="6" t="s">
        <v>161</v>
      </c>
      <c r="F17" s="3" t="s">
        <v>608</v>
      </c>
      <c r="G17" s="1" t="s">
        <v>310</v>
      </c>
      <c r="H17" s="1" t="s">
        <v>153</v>
      </c>
      <c r="I17" s="12" t="str">
        <f>IF(D17="", "", IF(D17="Unknown", "Unknown", TEXT(D17+_xlfn.XLOOKUP(G17,Seeds!A:A,Seeds!I:I),"yyyy-MM-dd")&amp;"—"&amp;TEXT(D17+_xlfn.XLOOKUP(G17,Seeds!A:A,Seeds!J:J),"yyyy-MM-dd")))</f>
        <v>Unknown</v>
      </c>
      <c r="J17" s="3" t="s">
        <v>14</v>
      </c>
      <c r="K17" s="5" t="s">
        <v>14</v>
      </c>
      <c r="L17" s="3" t="s">
        <v>374</v>
      </c>
      <c r="M17" s="1">
        <v>1</v>
      </c>
      <c r="N1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7" s="3" t="s">
        <v>558</v>
      </c>
      <c r="P17" s="8" t="s">
        <v>606</v>
      </c>
      <c r="Q17" s="3" t="s">
        <v>14</v>
      </c>
      <c r="R17" s="3" t="s">
        <v>14</v>
      </c>
      <c r="S17" s="3" t="s">
        <v>14</v>
      </c>
      <c r="T17" s="1" t="s">
        <v>374</v>
      </c>
      <c r="U17" s="1" t="s">
        <v>374</v>
      </c>
      <c r="V17" s="1" t="s">
        <v>374</v>
      </c>
      <c r="W17" s="1" t="s">
        <v>374</v>
      </c>
      <c r="X17" s="7" t="s">
        <v>606</v>
      </c>
      <c r="Y17" s="1" t="s">
        <v>601</v>
      </c>
      <c r="Z17" s="3" t="s">
        <v>14</v>
      </c>
      <c r="AA17" s="1" t="s">
        <v>374</v>
      </c>
      <c r="AB17" s="3" t="s">
        <v>14</v>
      </c>
      <c r="AC17" s="3" t="s">
        <v>14</v>
      </c>
      <c r="AD17" s="3" t="s">
        <v>14</v>
      </c>
      <c r="AE17" s="1" t="s">
        <v>544</v>
      </c>
      <c r="AF17" s="2" t="s">
        <v>408</v>
      </c>
      <c r="AG17" s="3" t="s">
        <v>602</v>
      </c>
    </row>
    <row r="18" spans="1:33">
      <c r="A18" s="8" t="s">
        <v>409</v>
      </c>
      <c r="B18" s="8" t="s">
        <v>409</v>
      </c>
      <c r="C18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Home Sill Home</v>
      </c>
      <c r="D18" s="3" t="s">
        <v>14</v>
      </c>
      <c r="E18" s="6" t="s">
        <v>161</v>
      </c>
      <c r="F18" s="3" t="s">
        <v>608</v>
      </c>
      <c r="G18" s="1" t="s">
        <v>310</v>
      </c>
      <c r="H18" s="1" t="s">
        <v>153</v>
      </c>
      <c r="I18" s="12" t="str">
        <f>IF(D18="", "", IF(D18="Unknown", "Unknown", TEXT(D18+_xlfn.XLOOKUP(G18,Seeds!A:A,Seeds!I:I),"yyyy-MM-dd")&amp;"—"&amp;TEXT(D18+_xlfn.XLOOKUP(G18,Seeds!A:A,Seeds!J:J),"yyyy-MM-dd")))</f>
        <v>Unknown</v>
      </c>
      <c r="J18" s="3" t="s">
        <v>14</v>
      </c>
      <c r="K18" s="5" t="s">
        <v>14</v>
      </c>
      <c r="L18" s="3" t="s">
        <v>374</v>
      </c>
      <c r="M18" s="1">
        <v>1</v>
      </c>
      <c r="N1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8" s="3" t="s">
        <v>558</v>
      </c>
      <c r="P18" s="7" t="s">
        <v>609</v>
      </c>
      <c r="Q18" s="3" t="s">
        <v>14</v>
      </c>
      <c r="R18" s="8" t="s">
        <v>610</v>
      </c>
      <c r="S18" s="3" t="s">
        <v>14</v>
      </c>
      <c r="T18" s="3" t="s">
        <v>374</v>
      </c>
      <c r="U18" s="3" t="s">
        <v>374</v>
      </c>
      <c r="V18" s="3" t="s">
        <v>374</v>
      </c>
      <c r="W18" s="3" t="s">
        <v>374</v>
      </c>
      <c r="X18" s="8" t="s">
        <v>609</v>
      </c>
      <c r="Y18" s="1" t="s">
        <v>601</v>
      </c>
      <c r="Z18" s="3" t="s">
        <v>14</v>
      </c>
      <c r="AA18" s="3" t="s">
        <v>374</v>
      </c>
      <c r="AB18" s="3" t="s">
        <v>14</v>
      </c>
      <c r="AC18" s="3" t="s">
        <v>14</v>
      </c>
      <c r="AD18" s="3" t="s">
        <v>14</v>
      </c>
      <c r="AE18" s="1" t="s">
        <v>544</v>
      </c>
      <c r="AF18" s="2" t="s">
        <v>413</v>
      </c>
      <c r="AG18" s="3" t="s">
        <v>611</v>
      </c>
    </row>
    <row r="19" spans="1:33">
      <c r="A19" s="8" t="s">
        <v>414</v>
      </c>
      <c r="B19" s="8" t="s">
        <v>414</v>
      </c>
      <c r="C19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Mr. Green, in the Hall, with the Jar (candlestick)</v>
      </c>
      <c r="D19" s="3" t="s">
        <v>14</v>
      </c>
      <c r="E19" s="6" t="s">
        <v>161</v>
      </c>
      <c r="F19" s="1" t="s">
        <v>605</v>
      </c>
      <c r="G19" s="1" t="s">
        <v>310</v>
      </c>
      <c r="H19" s="1" t="s">
        <v>153</v>
      </c>
      <c r="I19" s="12" t="str">
        <f>IF(D19="", "", IF(D19="Unknown", "Unknown", TEXT(D19+_xlfn.XLOOKUP(G19,Seeds!A:A,Seeds!I:I),"yyyy-MM-dd")&amp;"—"&amp;TEXT(D19+_xlfn.XLOOKUP(G19,Seeds!A:A,Seeds!J:J),"yyyy-MM-dd")))</f>
        <v>Unknown</v>
      </c>
      <c r="J19" s="3" t="s">
        <v>14</v>
      </c>
      <c r="K19" s="5" t="s">
        <v>14</v>
      </c>
      <c r="L19" s="3" t="s">
        <v>374</v>
      </c>
      <c r="M19" s="1">
        <v>1</v>
      </c>
      <c r="N1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19" s="3" t="s">
        <v>558</v>
      </c>
      <c r="P19" s="8" t="s">
        <v>606</v>
      </c>
      <c r="Q19" s="3" t="s">
        <v>14</v>
      </c>
      <c r="R19" s="8" t="s">
        <v>612</v>
      </c>
      <c r="S19" s="3" t="s">
        <v>14</v>
      </c>
      <c r="T19" s="1" t="s">
        <v>374</v>
      </c>
      <c r="U19" s="1" t="s">
        <v>374</v>
      </c>
      <c r="V19" s="1" t="s">
        <v>374</v>
      </c>
      <c r="W19" s="1" t="s">
        <v>374</v>
      </c>
      <c r="X19" s="7" t="s">
        <v>606</v>
      </c>
      <c r="Y19" s="1" t="s">
        <v>601</v>
      </c>
      <c r="Z19" s="3" t="s">
        <v>14</v>
      </c>
      <c r="AA19" s="1" t="s">
        <v>374</v>
      </c>
      <c r="AB19" s="3" t="s">
        <v>14</v>
      </c>
      <c r="AC19" s="3" t="s">
        <v>14</v>
      </c>
      <c r="AD19" s="3" t="s">
        <v>14</v>
      </c>
      <c r="AE19" s="1" t="s">
        <v>418</v>
      </c>
      <c r="AF19" s="2" t="s">
        <v>419</v>
      </c>
      <c r="AG19" s="1" t="s">
        <v>613</v>
      </c>
    </row>
    <row r="20" spans="1:33">
      <c r="A20" s="8" t="s">
        <v>327</v>
      </c>
      <c r="B20" s="8" t="s">
        <v>327</v>
      </c>
      <c r="C20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These are a few of my favorite things</v>
      </c>
      <c r="D20" s="3" t="s">
        <v>14</v>
      </c>
      <c r="E20" s="6" t="s">
        <v>161</v>
      </c>
      <c r="F20" s="1" t="s">
        <v>614</v>
      </c>
      <c r="G20" s="1" t="s">
        <v>310</v>
      </c>
      <c r="H20" s="1" t="s">
        <v>153</v>
      </c>
      <c r="I20" s="12" t="str">
        <f>IF(D20="", "", IF(D20="Unknown", "Unknown", TEXT(D20+_xlfn.XLOOKUP(G20,Seeds!A:A,Seeds!I:I),"yyyy-MM-dd")&amp;"—"&amp;TEXT(D20+_xlfn.XLOOKUP(G20,Seeds!A:A,Seeds!J:J),"yyyy-MM-dd")))</f>
        <v>Unknown</v>
      </c>
      <c r="J20" s="3" t="s">
        <v>14</v>
      </c>
      <c r="K20" s="5" t="s">
        <v>14</v>
      </c>
      <c r="L20" s="3" t="s">
        <v>374</v>
      </c>
      <c r="M20" s="1">
        <v>1</v>
      </c>
      <c r="N2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0" s="3" t="s">
        <v>558</v>
      </c>
      <c r="P20" s="7" t="s">
        <v>615</v>
      </c>
      <c r="Q20" s="3" t="s">
        <v>14</v>
      </c>
      <c r="R20" s="7" t="s">
        <v>610</v>
      </c>
      <c r="S20" s="8" t="s">
        <v>157</v>
      </c>
      <c r="T20" s="3" t="s">
        <v>374</v>
      </c>
      <c r="U20" s="3" t="s">
        <v>374</v>
      </c>
      <c r="V20" s="3" t="s">
        <v>374</v>
      </c>
      <c r="W20" s="3" t="s">
        <v>374</v>
      </c>
      <c r="X20" s="8" t="s">
        <v>615</v>
      </c>
      <c r="Y20" s="1" t="s">
        <v>601</v>
      </c>
      <c r="Z20" s="3" t="s">
        <v>14</v>
      </c>
      <c r="AA20" s="3" t="s">
        <v>374</v>
      </c>
      <c r="AB20" s="3" t="s">
        <v>564</v>
      </c>
      <c r="AC20" s="3" t="s">
        <v>559</v>
      </c>
      <c r="AD20" s="3" t="s">
        <v>36</v>
      </c>
      <c r="AE20" s="1" t="s">
        <v>14</v>
      </c>
      <c r="AF20" s="3" t="s">
        <v>14</v>
      </c>
    </row>
    <row r="21" spans="1:33">
      <c r="A21" s="8" t="s">
        <v>424</v>
      </c>
      <c r="B21" s="8" t="s">
        <v>424</v>
      </c>
      <c r="C2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You're the Best! A Crown!</v>
      </c>
      <c r="D21" s="3" t="s">
        <v>14</v>
      </c>
      <c r="E21" s="6" t="s">
        <v>161</v>
      </c>
      <c r="F21" s="1" t="s">
        <v>616</v>
      </c>
      <c r="G21" s="1" t="s">
        <v>310</v>
      </c>
      <c r="H21" s="1" t="s">
        <v>153</v>
      </c>
      <c r="I21" s="12" t="str">
        <f>IF(D21="", "", IF(D21="Unknown", "Unknown", TEXT(D21+_xlfn.XLOOKUP(G21,Seeds!A:A,Seeds!I:I),"yyyy-MM-dd")&amp;"—"&amp;TEXT(D21+_xlfn.XLOOKUP(G21,Seeds!A:A,Seeds!J:J),"yyyy-MM-dd")))</f>
        <v>Unknown</v>
      </c>
      <c r="J21" s="3" t="s">
        <v>14</v>
      </c>
      <c r="K21" s="5" t="s">
        <v>14</v>
      </c>
      <c r="L21" s="3" t="s">
        <v>374</v>
      </c>
      <c r="M21" s="1">
        <v>1</v>
      </c>
      <c r="N2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1" s="3" t="s">
        <v>558</v>
      </c>
      <c r="P21" s="8" t="s">
        <v>609</v>
      </c>
      <c r="Q21" s="3" t="s">
        <v>14</v>
      </c>
      <c r="R21" s="8" t="s">
        <v>188</v>
      </c>
      <c r="S21" s="3" t="s">
        <v>14</v>
      </c>
      <c r="T21" s="3" t="s">
        <v>374</v>
      </c>
      <c r="U21" s="3" t="s">
        <v>374</v>
      </c>
      <c r="V21" s="3" t="s">
        <v>374</v>
      </c>
      <c r="W21" s="3" t="s">
        <v>374</v>
      </c>
      <c r="X21" s="8" t="s">
        <v>609</v>
      </c>
      <c r="Y21" s="1" t="s">
        <v>601</v>
      </c>
      <c r="Z21" s="3" t="s">
        <v>14</v>
      </c>
      <c r="AA21" s="3" t="s">
        <v>374</v>
      </c>
      <c r="AB21" s="3" t="s">
        <v>14</v>
      </c>
      <c r="AC21" s="3" t="s">
        <v>14</v>
      </c>
      <c r="AD21" s="3" t="s">
        <v>14</v>
      </c>
      <c r="AE21" s="1" t="s">
        <v>544</v>
      </c>
      <c r="AF21" s="2" t="s">
        <v>427</v>
      </c>
      <c r="AG21" s="3" t="s">
        <v>611</v>
      </c>
    </row>
    <row r="22" spans="1:33">
      <c r="A22" s="8" t="s">
        <v>428</v>
      </c>
      <c r="B22" s="8" t="s">
        <v>428</v>
      </c>
      <c r="C2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Breakfast and Move Things</v>
      </c>
      <c r="D22" s="3" t="s">
        <v>14</v>
      </c>
      <c r="E22" s="6" t="s">
        <v>161</v>
      </c>
      <c r="F22" s="1" t="s">
        <v>617</v>
      </c>
      <c r="G22" s="3" t="s">
        <v>310</v>
      </c>
      <c r="H22" s="1" t="s">
        <v>153</v>
      </c>
      <c r="I22" s="12" t="str">
        <f>IF(D22="", "", IF(D22="Unknown", "Unknown", TEXT(D22+_xlfn.XLOOKUP(G22,Seeds!A:A,Seeds!I:I),"yyyy-MM-dd")&amp;"—"&amp;TEXT(D22+_xlfn.XLOOKUP(G22,Seeds!A:A,Seeds!J:J),"yyyy-MM-dd")))</f>
        <v>Unknown</v>
      </c>
      <c r="J22" s="3" t="s">
        <v>14</v>
      </c>
      <c r="K22" s="5" t="s">
        <v>14</v>
      </c>
      <c r="L22" s="3" t="s">
        <v>374</v>
      </c>
      <c r="M22" s="1">
        <v>1</v>
      </c>
      <c r="N2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2" s="3" t="s">
        <v>558</v>
      </c>
      <c r="P22" s="7" t="s">
        <v>615</v>
      </c>
      <c r="Q22" s="3" t="s">
        <v>14</v>
      </c>
      <c r="R22" s="7" t="s">
        <v>618</v>
      </c>
      <c r="S22" s="8" t="s">
        <v>157</v>
      </c>
      <c r="T22" s="3" t="s">
        <v>374</v>
      </c>
      <c r="U22" s="3" t="s">
        <v>374</v>
      </c>
      <c r="V22" s="3" t="s">
        <v>374</v>
      </c>
      <c r="W22" s="3" t="s">
        <v>374</v>
      </c>
      <c r="X22" s="8" t="s">
        <v>615</v>
      </c>
      <c r="Y22" s="1" t="s">
        <v>601</v>
      </c>
      <c r="Z22" s="3" t="s">
        <v>14</v>
      </c>
      <c r="AA22" s="3" t="s">
        <v>374</v>
      </c>
      <c r="AB22" s="3" t="s">
        <v>564</v>
      </c>
      <c r="AC22" s="3" t="s">
        <v>559</v>
      </c>
      <c r="AD22" s="3" t="s">
        <v>29</v>
      </c>
      <c r="AE22" s="3" t="s">
        <v>14</v>
      </c>
      <c r="AF22" s="3" t="s">
        <v>14</v>
      </c>
    </row>
    <row r="23" spans="1:33">
      <c r="A23" s="8" t="s">
        <v>432</v>
      </c>
      <c r="B23" s="8" t="s">
        <v>432</v>
      </c>
      <c r="C23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Dancing on my Shelf</v>
      </c>
      <c r="D23" s="3" t="s">
        <v>14</v>
      </c>
      <c r="E23" s="6" t="s">
        <v>161</v>
      </c>
      <c r="F23" s="1" t="s">
        <v>619</v>
      </c>
      <c r="G23" s="3" t="s">
        <v>310</v>
      </c>
      <c r="H23" s="1" t="s">
        <v>153</v>
      </c>
      <c r="I23" s="12" t="str">
        <f>IF(D23="", "", IF(D23="Unknown", "Unknown", TEXT(D23+_xlfn.XLOOKUP(G23,Seeds!A:A,Seeds!I:I),"yyyy-MM-dd")&amp;"—"&amp;TEXT(D23+_xlfn.XLOOKUP(G23,Seeds!A:A,Seeds!J:J),"yyyy-MM-dd")))</f>
        <v>Unknown</v>
      </c>
      <c r="J23" s="3" t="s">
        <v>14</v>
      </c>
      <c r="K23" s="5" t="s">
        <v>14</v>
      </c>
      <c r="L23" s="3" t="s">
        <v>374</v>
      </c>
      <c r="M23" s="1">
        <v>1</v>
      </c>
      <c r="N2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3" s="3" t="s">
        <v>558</v>
      </c>
      <c r="P23" s="8" t="s">
        <v>609</v>
      </c>
      <c r="Q23" s="3" t="s">
        <v>14</v>
      </c>
      <c r="R23" s="8" t="s">
        <v>180</v>
      </c>
      <c r="S23" s="3" t="s">
        <v>14</v>
      </c>
      <c r="T23" s="3" t="s">
        <v>374</v>
      </c>
      <c r="U23" s="3" t="s">
        <v>374</v>
      </c>
      <c r="V23" s="3" t="s">
        <v>374</v>
      </c>
      <c r="W23" s="3" t="s">
        <v>374</v>
      </c>
      <c r="X23" s="8" t="s">
        <v>609</v>
      </c>
      <c r="Y23" s="1" t="s">
        <v>601</v>
      </c>
      <c r="Z23" s="3" t="s">
        <v>14</v>
      </c>
      <c r="AA23" s="3" t="s">
        <v>374</v>
      </c>
      <c r="AB23" s="3" t="s">
        <v>14</v>
      </c>
      <c r="AC23" s="3" t="s">
        <v>14</v>
      </c>
      <c r="AD23" s="3" t="s">
        <v>14</v>
      </c>
      <c r="AE23" s="1" t="s">
        <v>544</v>
      </c>
      <c r="AF23" s="2" t="s">
        <v>436</v>
      </c>
      <c r="AG23" s="3" t="s">
        <v>611</v>
      </c>
    </row>
    <row r="24" spans="1:33">
      <c r="A24" s="8" t="s">
        <v>437</v>
      </c>
      <c r="B24" s="8" t="s">
        <v>437</v>
      </c>
      <c r="C24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Look Out and-Grow!</v>
      </c>
      <c r="D24" s="3" t="s">
        <v>14</v>
      </c>
      <c r="E24" s="6" t="s">
        <v>161</v>
      </c>
      <c r="F24" s="1" t="s">
        <v>616</v>
      </c>
      <c r="G24" s="1" t="s">
        <v>300</v>
      </c>
      <c r="H24" s="1" t="s">
        <v>153</v>
      </c>
      <c r="I24" s="12" t="str">
        <f>IF(D24="", "", IF(D24="Unknown", "Unknown", TEXT(D24+_xlfn.XLOOKUP(G24,Seeds!A:A,Seeds!I:I),"yyyy-MM-dd")&amp;"—"&amp;TEXT(D24+_xlfn.XLOOKUP(G24,Seeds!A:A,Seeds!J:J),"yyyy-MM-dd")))</f>
        <v>Unknown</v>
      </c>
      <c r="J24" s="3" t="s">
        <v>14</v>
      </c>
      <c r="K24" s="5" t="s">
        <v>14</v>
      </c>
      <c r="L24" s="3" t="s">
        <v>374</v>
      </c>
      <c r="M24" s="1">
        <v>1</v>
      </c>
      <c r="N2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4" s="3" t="s">
        <v>558</v>
      </c>
      <c r="P24" s="8" t="s">
        <v>609</v>
      </c>
      <c r="Q24" s="3" t="s">
        <v>14</v>
      </c>
      <c r="R24" s="8" t="s">
        <v>612</v>
      </c>
      <c r="S24" s="3" t="s">
        <v>14</v>
      </c>
      <c r="T24" s="3" t="s">
        <v>374</v>
      </c>
      <c r="U24" s="3" t="s">
        <v>374</v>
      </c>
      <c r="V24" s="3" t="s">
        <v>374</v>
      </c>
      <c r="W24" s="3" t="s">
        <v>374</v>
      </c>
      <c r="X24" s="8" t="s">
        <v>609</v>
      </c>
      <c r="Y24" s="1" t="s">
        <v>601</v>
      </c>
      <c r="Z24" s="3" t="s">
        <v>14</v>
      </c>
      <c r="AA24" s="3" t="s">
        <v>374</v>
      </c>
      <c r="AB24" s="3" t="s">
        <v>14</v>
      </c>
      <c r="AC24" s="3" t="s">
        <v>14</v>
      </c>
      <c r="AD24" s="3" t="s">
        <v>14</v>
      </c>
      <c r="AE24" s="1" t="s">
        <v>418</v>
      </c>
      <c r="AF24" s="2" t="s">
        <v>441</v>
      </c>
      <c r="AG24" s="3" t="s">
        <v>611</v>
      </c>
    </row>
    <row r="25" spans="1:33">
      <c r="A25" s="8" t="s">
        <v>442</v>
      </c>
      <c r="B25" s="8" t="s">
        <v>442</v>
      </c>
      <c r="C25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Green Queen</v>
      </c>
      <c r="D25" s="3" t="s">
        <v>14</v>
      </c>
      <c r="E25" s="6" t="s">
        <v>161</v>
      </c>
      <c r="F25" s="1" t="s">
        <v>620</v>
      </c>
      <c r="G25" s="1" t="s">
        <v>322</v>
      </c>
      <c r="H25" s="1" t="s">
        <v>153</v>
      </c>
      <c r="I25" s="12" t="str">
        <f>IF(D25="", "", IF(D25="Unknown", "Unknown", TEXT(D25+_xlfn.XLOOKUP(G25,Seeds!A:A,Seeds!I:I),"yyyy-MM-dd")&amp;"—"&amp;TEXT(D25+_xlfn.XLOOKUP(G25,Seeds!A:A,Seeds!J:J),"yyyy-MM-dd")))</f>
        <v>Unknown</v>
      </c>
      <c r="J25" s="3" t="s">
        <v>14</v>
      </c>
      <c r="K25" s="5" t="s">
        <v>14</v>
      </c>
      <c r="L25" s="3" t="s">
        <v>374</v>
      </c>
      <c r="M25" s="1">
        <v>1</v>
      </c>
      <c r="N2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5" s="3" t="s">
        <v>374</v>
      </c>
      <c r="P25" s="2" t="s">
        <v>374</v>
      </c>
      <c r="Q25" s="3" t="s">
        <v>374</v>
      </c>
      <c r="R25" s="3" t="s">
        <v>374</v>
      </c>
      <c r="S25" s="3" t="s">
        <v>374</v>
      </c>
      <c r="T25" s="3" t="s">
        <v>374</v>
      </c>
      <c r="U25" s="3" t="s">
        <v>374</v>
      </c>
      <c r="V25" s="3" t="s">
        <v>374</v>
      </c>
      <c r="W25" s="3" t="s">
        <v>374</v>
      </c>
      <c r="X25" s="2" t="s">
        <v>621</v>
      </c>
      <c r="Y25" s="3" t="s">
        <v>622</v>
      </c>
      <c r="Z25" s="3" t="s">
        <v>374</v>
      </c>
      <c r="AA25" s="3" t="s">
        <v>374</v>
      </c>
      <c r="AB25" s="3" t="s">
        <v>14</v>
      </c>
      <c r="AC25" s="3" t="s">
        <v>14</v>
      </c>
      <c r="AD25" s="3" t="s">
        <v>14</v>
      </c>
      <c r="AE25" s="1" t="s">
        <v>326</v>
      </c>
      <c r="AF25" s="2" t="s">
        <v>445</v>
      </c>
      <c r="AG25" s="1" t="s">
        <v>623</v>
      </c>
    </row>
    <row r="26" spans="1:33">
      <c r="A26" s="8" t="s">
        <v>446</v>
      </c>
      <c r="B26" s="8" t="s">
        <v>446</v>
      </c>
      <c r="C26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My Cat Ate My Lettuce</v>
      </c>
      <c r="D26" s="3" t="s">
        <v>14</v>
      </c>
      <c r="E26" s="6" t="s">
        <v>161</v>
      </c>
      <c r="F26" s="1" t="s">
        <v>624</v>
      </c>
      <c r="G26" s="1" t="s">
        <v>322</v>
      </c>
      <c r="H26" s="1" t="s">
        <v>153</v>
      </c>
      <c r="I26" s="12" t="str">
        <f>IF(D26="", "", IF(D26="Unknown", "Unknown", TEXT(D26+_xlfn.XLOOKUP(G26,Seeds!A:A,Seeds!I:I),"yyyy-MM-dd")&amp;"—"&amp;TEXT(D26+_xlfn.XLOOKUP(G26,Seeds!A:A,Seeds!J:J),"yyyy-MM-dd")))</f>
        <v>Unknown</v>
      </c>
      <c r="J26" s="3" t="s">
        <v>14</v>
      </c>
      <c r="K26" s="5" t="s">
        <v>14</v>
      </c>
      <c r="L26" s="3" t="s">
        <v>374</v>
      </c>
      <c r="M26" s="1">
        <v>1</v>
      </c>
      <c r="N2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6" s="3" t="s">
        <v>558</v>
      </c>
      <c r="P26" s="8" t="s">
        <v>609</v>
      </c>
      <c r="Q26" s="3" t="s">
        <v>14</v>
      </c>
      <c r="R26" s="3" t="s">
        <v>14</v>
      </c>
      <c r="S26" s="3" t="s">
        <v>14</v>
      </c>
      <c r="T26" s="3" t="s">
        <v>374</v>
      </c>
      <c r="U26" s="3" t="s">
        <v>374</v>
      </c>
      <c r="V26" s="3" t="s">
        <v>374</v>
      </c>
      <c r="W26" s="3" t="s">
        <v>374</v>
      </c>
      <c r="X26" s="8" t="s">
        <v>609</v>
      </c>
      <c r="Y26" s="1" t="s">
        <v>601</v>
      </c>
      <c r="Z26" s="3" t="s">
        <v>14</v>
      </c>
      <c r="AA26" s="3" t="s">
        <v>374</v>
      </c>
      <c r="AB26" s="3" t="s">
        <v>14</v>
      </c>
      <c r="AC26" s="3" t="s">
        <v>14</v>
      </c>
      <c r="AD26" s="3" t="s">
        <v>14</v>
      </c>
      <c r="AE26" s="1" t="s">
        <v>398</v>
      </c>
      <c r="AF26" s="2" t="s">
        <v>449</v>
      </c>
      <c r="AG26" s="1" t="s">
        <v>625</v>
      </c>
    </row>
    <row r="27" spans="1:33">
      <c r="A27" s="7" t="s">
        <v>450</v>
      </c>
      <c r="B27" s="7" t="s">
        <v>450</v>
      </c>
      <c r="C27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Buddy</v>
      </c>
      <c r="D27" s="2" t="s">
        <v>14</v>
      </c>
      <c r="E27" s="6" t="s">
        <v>161</v>
      </c>
      <c r="F27" s="1" t="s">
        <v>616</v>
      </c>
      <c r="G27" s="1" t="s">
        <v>322</v>
      </c>
      <c r="H27" s="1" t="s">
        <v>153</v>
      </c>
      <c r="I27" s="12" t="str">
        <f>IF(D27="", "", IF(D27="Unknown", "Unknown", TEXT(D27+_xlfn.XLOOKUP(G27,Seeds!A:A,Seeds!I:I),"yyyy-MM-dd")&amp;"—"&amp;TEXT(D27+_xlfn.XLOOKUP(G27,Seeds!A:A,Seeds!J:J),"yyyy-MM-dd")))</f>
        <v>Unknown</v>
      </c>
      <c r="J27" s="3" t="s">
        <v>14</v>
      </c>
      <c r="K27" s="5" t="s">
        <v>14</v>
      </c>
      <c r="L27" s="3" t="s">
        <v>374</v>
      </c>
      <c r="M27" s="1">
        <v>1</v>
      </c>
      <c r="N2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Unknown</v>
      </c>
      <c r="O27" s="1" t="s">
        <v>374</v>
      </c>
      <c r="P27" s="2" t="s">
        <v>374</v>
      </c>
      <c r="Q27" s="3" t="s">
        <v>374</v>
      </c>
      <c r="R27" s="3" t="s">
        <v>374</v>
      </c>
      <c r="S27" s="3" t="s">
        <v>374</v>
      </c>
      <c r="T27" s="3" t="s">
        <v>374</v>
      </c>
      <c r="U27" s="3" t="s">
        <v>374</v>
      </c>
      <c r="V27" s="3" t="s">
        <v>374</v>
      </c>
      <c r="W27" s="3" t="s">
        <v>374</v>
      </c>
      <c r="X27" s="6" t="s">
        <v>621</v>
      </c>
      <c r="Y27" s="3" t="s">
        <v>622</v>
      </c>
      <c r="Z27" s="3" t="s">
        <v>374</v>
      </c>
      <c r="AA27" s="3" t="s">
        <v>374</v>
      </c>
      <c r="AB27" s="3" t="s">
        <v>14</v>
      </c>
      <c r="AC27" s="3" t="s">
        <v>14</v>
      </c>
      <c r="AD27" s="3" t="s">
        <v>14</v>
      </c>
      <c r="AE27" s="1" t="s">
        <v>398</v>
      </c>
      <c r="AF27" s="2" t="s">
        <v>454</v>
      </c>
      <c r="AG27" s="1" t="s">
        <v>455</v>
      </c>
    </row>
    <row r="28" spans="1:33">
      <c r="A28" s="8" t="s">
        <v>476</v>
      </c>
      <c r="B28" s="8" t="s">
        <v>476</v>
      </c>
      <c r="C28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28" s="8" t="s">
        <v>477</v>
      </c>
      <c r="E28" s="8" t="s">
        <v>157</v>
      </c>
      <c r="F28" s="3" t="s">
        <v>626</v>
      </c>
      <c r="G28" s="1" t="s">
        <v>322</v>
      </c>
      <c r="H28" s="6" t="s">
        <v>153</v>
      </c>
      <c r="I28" s="14" t="e">
        <f>IF(D28="", "", IF(D28="Unknown", "Unknown", TEXT(D28+_xlfn.XLOOKUP(G28,Seeds!A:A,Seeds!I:I),"yyyy-MM-dd")&amp;"—"&amp;TEXT(D28+_xlfn.XLOOKUP(G28,Seeds!A:A,Seeds!J:J),"yyyy-MM-dd")))</f>
        <v>#VALUE!</v>
      </c>
      <c r="J28" s="8" t="s">
        <v>627</v>
      </c>
      <c r="K28" s="5" t="s">
        <v>14</v>
      </c>
      <c r="L28" s="3" t="s">
        <v>374</v>
      </c>
      <c r="M28" s="6" t="s">
        <v>153</v>
      </c>
      <c r="N28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29" spans="1:33">
      <c r="A29" s="6" t="s">
        <v>480</v>
      </c>
      <c r="B29" s="6" t="s">
        <v>456</v>
      </c>
      <c r="C29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Goose</v>
      </c>
      <c r="D29" s="6" t="s">
        <v>477</v>
      </c>
      <c r="E29" s="1" t="s">
        <v>157</v>
      </c>
      <c r="F29" s="1" t="s">
        <v>626</v>
      </c>
      <c r="G29" s="1" t="s">
        <v>322</v>
      </c>
      <c r="H29" s="6" t="s">
        <v>153</v>
      </c>
      <c r="I29" s="13" t="e">
        <f>IF(D29="", "", IF(D29="Unknown", "Unknown", TEXT(D29+_xlfn.XLOOKUP(G29,Seeds!A:A,Seeds!I:I),"yyyy-MM-dd")&amp;"—"&amp;TEXT(D29+_xlfn.XLOOKUP(G29,Seeds!A:A,Seeds!J:J),"yyyy-MM-dd")))</f>
        <v>#VALUE!</v>
      </c>
      <c r="J29" s="8" t="s">
        <v>627</v>
      </c>
      <c r="K29" s="5" t="s">
        <v>14</v>
      </c>
      <c r="L29" s="8" t="s">
        <v>628</v>
      </c>
      <c r="M29" s="6" t="s">
        <v>153</v>
      </c>
      <c r="N29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0" spans="1:33">
      <c r="A30" s="6" t="s">
        <v>484</v>
      </c>
      <c r="B30" s="6" t="s">
        <v>495</v>
      </c>
      <c r="C30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0" s="1" t="s">
        <v>485</v>
      </c>
      <c r="E30" s="1" t="s">
        <v>157</v>
      </c>
      <c r="F30" s="1" t="s">
        <v>629</v>
      </c>
      <c r="G30" s="1" t="s">
        <v>322</v>
      </c>
      <c r="H30" s="1" t="s">
        <v>153</v>
      </c>
      <c r="I30" s="5" t="e">
        <f>IF(D30="", "", IF(D30="Unknown", "Unknown", TEXT(D30+_xlfn.XLOOKUP(G30,Seeds!A:A,Seeds!I:I),"yyyy-MM-dd")&amp;"—"&amp;TEXT(D30+_xlfn.XLOOKUP(G30,Seeds!A:A,Seeds!J:J),"yyyy-MM-dd")))</f>
        <v>#VALUE!</v>
      </c>
      <c r="J30" s="16" t="s">
        <v>630</v>
      </c>
      <c r="K30" s="5" t="s">
        <v>14</v>
      </c>
      <c r="L30" s="8" t="s">
        <v>515</v>
      </c>
      <c r="M30" s="1" t="s">
        <v>153</v>
      </c>
      <c r="N30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1" spans="1:33">
      <c r="A31" s="8" t="s">
        <v>487</v>
      </c>
      <c r="B31" s="6" t="s">
        <v>463</v>
      </c>
      <c r="C31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1" s="6" t="s">
        <v>488</v>
      </c>
      <c r="E31" s="6" t="s">
        <v>157</v>
      </c>
      <c r="F31" s="1" t="s">
        <v>624</v>
      </c>
      <c r="G31" s="1" t="s">
        <v>322</v>
      </c>
      <c r="H31" s="1" t="s">
        <v>153</v>
      </c>
      <c r="I31" s="5" t="e">
        <f>IF(D31="", "", IF(D31="Unknown", "Unknown", TEXT(D31+_xlfn.XLOOKUP(G31,Seeds!A:A,Seeds!I:I),"yyyy-MM-dd")&amp;"—"&amp;TEXT(D31+_xlfn.XLOOKUP(G31,Seeds!A:A,Seeds!J:J),"yyyy-MM-dd")))</f>
        <v>#VALUE!</v>
      </c>
      <c r="J31" s="13" t="s">
        <v>628</v>
      </c>
      <c r="K31" s="5" t="s">
        <v>14</v>
      </c>
      <c r="L31" s="13" t="s">
        <v>631</v>
      </c>
      <c r="M31" s="1" t="s">
        <v>153</v>
      </c>
      <c r="N31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2" spans="1:33">
      <c r="A32" s="6" t="s">
        <v>491</v>
      </c>
      <c r="B32" s="6" t="s">
        <v>491</v>
      </c>
      <c r="C32" s="17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My Cat Ate My Lettuce</v>
      </c>
      <c r="D32" s="16" t="s">
        <v>488</v>
      </c>
      <c r="E32" s="6" t="s">
        <v>157</v>
      </c>
      <c r="F32" s="3" t="s">
        <v>624</v>
      </c>
      <c r="G32" s="1" t="s">
        <v>322</v>
      </c>
      <c r="H32" s="1" t="s">
        <v>153</v>
      </c>
      <c r="I32" s="5" t="e">
        <f>IF(D32="", "", IF(D32="Unknown", "Unknown", TEXT(D32+_xlfn.XLOOKUP(G32,Seeds!A:A,Seeds!I:I),"yyyy-MM-dd")&amp;"—"&amp;TEXT(D32+_xlfn.XLOOKUP(G32,Seeds!A:A,Seeds!J:J),"yyyy-MM-dd")))</f>
        <v>#VALUE!</v>
      </c>
      <c r="J32" s="8" t="s">
        <v>628</v>
      </c>
      <c r="K32" s="5" t="s">
        <v>14</v>
      </c>
      <c r="L32" s="3" t="s">
        <v>374</v>
      </c>
      <c r="M32" s="1" t="s">
        <v>153</v>
      </c>
      <c r="N32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3" spans="1:33">
      <c r="A33" s="6" t="s">
        <v>632</v>
      </c>
      <c r="B33" s="1" t="s">
        <v>472</v>
      </c>
      <c r="C3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Duck</v>
      </c>
      <c r="D33" s="6" t="s">
        <v>628</v>
      </c>
      <c r="E33" s="1" t="s">
        <v>157</v>
      </c>
      <c r="F33" s="1" t="s">
        <v>629</v>
      </c>
      <c r="G33" s="1" t="s">
        <v>322</v>
      </c>
      <c r="H33" s="1" t="s">
        <v>153</v>
      </c>
      <c r="I33" s="5" t="e">
        <f>IF(D33="", "", IF(D33="Unknown", "Unknown", TEXT(D33+_xlfn.XLOOKUP(G33,Seeds!A:A,Seeds!I:I),"yyyy-MM-dd")&amp;"—"&amp;TEXT(D33+_xlfn.XLOOKUP(G33,Seeds!A:A,Seeds!J:J),"yyyy-MM-dd")))</f>
        <v>#VALUE!</v>
      </c>
      <c r="J33" s="13" t="s">
        <v>631</v>
      </c>
      <c r="K33" s="13" t="s">
        <v>633</v>
      </c>
      <c r="L33" s="13" t="s">
        <v>634</v>
      </c>
      <c r="M33" s="1" t="s">
        <v>153</v>
      </c>
      <c r="N33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4" spans="1:33">
      <c r="A34" s="6" t="s">
        <v>514</v>
      </c>
      <c r="B34" s="1" t="s">
        <v>503</v>
      </c>
      <c r="C3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Shining so Bright, We Grow Upright</v>
      </c>
      <c r="D34" s="6" t="s">
        <v>515</v>
      </c>
      <c r="E34" s="1" t="s">
        <v>157</v>
      </c>
      <c r="F34" s="1" t="s">
        <v>629</v>
      </c>
      <c r="G34" s="1" t="s">
        <v>322</v>
      </c>
      <c r="H34" s="1" t="s">
        <v>153</v>
      </c>
      <c r="I34" s="5" t="e">
        <f>IF(D34="", "", IF(D34="Unknown", "Unknown", TEXT(D34+_xlfn.XLOOKUP(G34,Seeds!A:A,Seeds!I:I),"yyyy-MM-dd")&amp;"—"&amp;TEXT(D34+_xlfn.XLOOKUP(G34,Seeds!A:A,Seeds!J:J),"yyyy-MM-dd")))</f>
        <v>#VALUE!</v>
      </c>
      <c r="J34" s="13" t="s">
        <v>517</v>
      </c>
      <c r="K34" s="13" t="s">
        <v>193</v>
      </c>
      <c r="L34" s="13" t="s">
        <v>634</v>
      </c>
      <c r="M34" s="1" t="s">
        <v>153</v>
      </c>
      <c r="N34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</row>
    <row r="35" spans="1:33">
      <c r="A35" s="6" t="s">
        <v>635</v>
      </c>
      <c r="B35" s="1" t="s">
        <v>498</v>
      </c>
      <c r="C3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You've Made it this Jar</v>
      </c>
      <c r="D35" s="6" t="s">
        <v>631</v>
      </c>
      <c r="E35" s="1" t="s">
        <v>157</v>
      </c>
      <c r="F35" s="1" t="s">
        <v>629</v>
      </c>
      <c r="G35" s="1" t="s">
        <v>322</v>
      </c>
      <c r="H35" s="1" t="s">
        <v>153</v>
      </c>
      <c r="I35" s="5" t="e">
        <f>IF(D35="", "", IF(D35="Unknown", "Unknown", TEXT(D35+_xlfn.XLOOKUP(G35,Seeds!A:A,Seeds!I:I),"yyyy-MM-dd")&amp;"—"&amp;TEXT(D35+_xlfn.XLOOKUP(G35,Seeds!A:A,Seeds!J:J),"yyyy-MM-dd")))</f>
        <v>#VALUE!</v>
      </c>
      <c r="J35" s="13" t="s">
        <v>634</v>
      </c>
      <c r="K35" s="13" t="s">
        <v>507</v>
      </c>
      <c r="L35" s="13" t="s">
        <v>636</v>
      </c>
      <c r="M35" s="1" t="s">
        <v>153</v>
      </c>
      <c r="N35" s="5" t="e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#VALUE!</v>
      </c>
      <c r="AG35" s="1" t="s">
        <v>637</v>
      </c>
    </row>
    <row r="36" spans="1:33">
      <c r="A36" s="6" t="s">
        <v>516</v>
      </c>
      <c r="B36" s="1" t="s">
        <v>374</v>
      </c>
      <c r="C3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6" s="6" t="s">
        <v>517</v>
      </c>
      <c r="E36" s="1" t="s">
        <v>157</v>
      </c>
      <c r="F36" s="1" t="s">
        <v>629</v>
      </c>
      <c r="G36" s="1" t="s">
        <v>319</v>
      </c>
      <c r="H36" s="1" t="s">
        <v>153</v>
      </c>
      <c r="I36" s="5" t="e">
        <f>IF(D36="", "", IF(D36="Unknown", "Unknown", TEXT(D36+_xlfn.XLOOKUP(G36,Seeds!A:A,Seeds!I:I),"yyyy-MM-dd")&amp;"—"&amp;TEXT(D36+_xlfn.XLOOKUP(G36,Seeds!A:A,Seeds!J:J),"yyyy-MM-dd")))</f>
        <v>#VALUE!</v>
      </c>
      <c r="J36" s="5" t="s">
        <v>374</v>
      </c>
      <c r="K36" s="5" t="s">
        <v>14</v>
      </c>
      <c r="L36" s="5" t="s">
        <v>374</v>
      </c>
      <c r="M36" s="1" t="s">
        <v>374</v>
      </c>
      <c r="N3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6" s="1" t="s">
        <v>374</v>
      </c>
      <c r="P36" s="1" t="s">
        <v>374</v>
      </c>
      <c r="Q36" s="1" t="s">
        <v>374</v>
      </c>
      <c r="R36" s="1" t="s">
        <v>374</v>
      </c>
      <c r="S36" s="1" t="s">
        <v>374</v>
      </c>
      <c r="T36" s="1" t="s">
        <v>374</v>
      </c>
      <c r="U36" s="1" t="s">
        <v>374</v>
      </c>
      <c r="V36" s="1" t="s">
        <v>374</v>
      </c>
      <c r="W36" s="1" t="s">
        <v>374</v>
      </c>
      <c r="X36" s="6" t="s">
        <v>524</v>
      </c>
      <c r="Y36" s="1" t="s">
        <v>622</v>
      </c>
      <c r="Z36" s="1" t="s">
        <v>374</v>
      </c>
      <c r="AA36" s="1" t="s">
        <v>374</v>
      </c>
      <c r="AB36" s="1" t="s">
        <v>14</v>
      </c>
      <c r="AC36" s="1" t="s">
        <v>14</v>
      </c>
      <c r="AD36" s="1" t="s">
        <v>14</v>
      </c>
      <c r="AE36" s="1" t="s">
        <v>14</v>
      </c>
      <c r="AF36" s="1" t="s">
        <v>14</v>
      </c>
      <c r="AG36" s="1" t="s">
        <v>520</v>
      </c>
    </row>
    <row r="37" spans="1:33">
      <c r="A37" s="6" t="s">
        <v>521</v>
      </c>
      <c r="B37" s="3" t="s">
        <v>374</v>
      </c>
      <c r="C3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7" s="8" t="s">
        <v>517</v>
      </c>
      <c r="E37" s="1" t="s">
        <v>157</v>
      </c>
      <c r="F37" s="3" t="s">
        <v>629</v>
      </c>
      <c r="G37" s="1" t="s">
        <v>319</v>
      </c>
      <c r="H37" s="1" t="s">
        <v>153</v>
      </c>
      <c r="I37" s="5" t="e">
        <f>IF(D37="", "", IF(D37="Unknown", "Unknown", TEXT(D37+_xlfn.XLOOKUP(G37,Seeds!A:A,Seeds!I:I),"yyyy-MM-dd")&amp;"—"&amp;TEXT(D37+_xlfn.XLOOKUP(G37,Seeds!A:A,Seeds!J:J),"yyyy-MM-dd")))</f>
        <v>#VALUE!</v>
      </c>
      <c r="J37" s="5" t="s">
        <v>374</v>
      </c>
      <c r="K37" s="5" t="s">
        <v>14</v>
      </c>
      <c r="L37" s="5" t="s">
        <v>374</v>
      </c>
      <c r="M37" s="1" t="s">
        <v>374</v>
      </c>
      <c r="N3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7" s="1" t="s">
        <v>374</v>
      </c>
      <c r="P37" s="1" t="s">
        <v>374</v>
      </c>
      <c r="Q37" s="1" t="s">
        <v>374</v>
      </c>
      <c r="R37" s="1" t="s">
        <v>374</v>
      </c>
      <c r="S37" s="1" t="s">
        <v>374</v>
      </c>
      <c r="T37" s="1" t="s">
        <v>374</v>
      </c>
      <c r="U37" s="1" t="s">
        <v>374</v>
      </c>
      <c r="V37" s="1" t="s">
        <v>374</v>
      </c>
      <c r="W37" s="1" t="s">
        <v>374</v>
      </c>
      <c r="X37" s="6" t="s">
        <v>524</v>
      </c>
      <c r="Y37" s="1" t="s">
        <v>622</v>
      </c>
      <c r="Z37" s="1" t="s">
        <v>374</v>
      </c>
      <c r="AA37" s="1" t="s">
        <v>374</v>
      </c>
      <c r="AB37" s="1" t="s">
        <v>14</v>
      </c>
      <c r="AC37" s="1" t="s">
        <v>14</v>
      </c>
      <c r="AD37" s="1" t="s">
        <v>14</v>
      </c>
      <c r="AE37" s="1" t="s">
        <v>14</v>
      </c>
      <c r="AF37" s="1" t="s">
        <v>14</v>
      </c>
      <c r="AG37" s="1" t="s">
        <v>520</v>
      </c>
    </row>
    <row r="38" spans="1:33">
      <c r="A38" s="6" t="s">
        <v>522</v>
      </c>
      <c r="B38" s="3" t="s">
        <v>374</v>
      </c>
      <c r="C3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>None</v>
      </c>
      <c r="D38" s="8" t="s">
        <v>517</v>
      </c>
      <c r="E38" s="1" t="s">
        <v>157</v>
      </c>
      <c r="F38" s="3" t="s">
        <v>629</v>
      </c>
      <c r="G38" s="1" t="s">
        <v>319</v>
      </c>
      <c r="H38" s="1" t="s">
        <v>153</v>
      </c>
      <c r="I38" s="5" t="e">
        <f>IF(D38="", "", IF(D38="Unknown", "Unknown", TEXT(D38+_xlfn.XLOOKUP(G38,Seeds!A:A,Seeds!I:I),"yyyy-MM-dd")&amp;"—"&amp;TEXT(D38+_xlfn.XLOOKUP(G38,Seeds!A:A,Seeds!J:J),"yyyy-MM-dd")))</f>
        <v>#VALUE!</v>
      </c>
      <c r="J38" s="5" t="s">
        <v>374</v>
      </c>
      <c r="K38" s="5" t="s">
        <v>14</v>
      </c>
      <c r="L38" s="5" t="s">
        <v>374</v>
      </c>
      <c r="M38" s="1" t="s">
        <v>374</v>
      </c>
      <c r="N3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>None</v>
      </c>
      <c r="O38" s="1" t="s">
        <v>374</v>
      </c>
      <c r="P38" s="1" t="s">
        <v>374</v>
      </c>
      <c r="Q38" s="1" t="s">
        <v>374</v>
      </c>
      <c r="R38" s="1" t="s">
        <v>374</v>
      </c>
      <c r="S38" s="1" t="s">
        <v>374</v>
      </c>
      <c r="T38" s="1" t="s">
        <v>374</v>
      </c>
      <c r="U38" s="1" t="s">
        <v>374</v>
      </c>
      <c r="V38" s="1" t="s">
        <v>374</v>
      </c>
      <c r="W38" s="1" t="s">
        <v>374</v>
      </c>
      <c r="X38" s="6" t="s">
        <v>524</v>
      </c>
      <c r="Y38" s="1" t="s">
        <v>622</v>
      </c>
      <c r="Z38" s="1" t="s">
        <v>374</v>
      </c>
      <c r="AA38" s="1" t="s">
        <v>374</v>
      </c>
      <c r="AB38" s="1" t="s">
        <v>14</v>
      </c>
      <c r="AC38" s="1" t="s">
        <v>14</v>
      </c>
      <c r="AD38" s="1" t="s">
        <v>14</v>
      </c>
      <c r="AE38" s="1" t="s">
        <v>14</v>
      </c>
      <c r="AF38" s="1" t="s">
        <v>14</v>
      </c>
      <c r="AG38" s="1" t="s">
        <v>520</v>
      </c>
    </row>
    <row r="39" spans="1:33">
      <c r="A39" s="6" t="s">
        <v>523</v>
      </c>
      <c r="B39" s="1"/>
      <c r="C3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39" s="6" t="s">
        <v>524</v>
      </c>
      <c r="E39" s="1" t="s">
        <v>157</v>
      </c>
      <c r="F39" s="1" t="s">
        <v>629</v>
      </c>
      <c r="G39" s="1" t="s">
        <v>322</v>
      </c>
      <c r="H39" s="1" t="s">
        <v>153</v>
      </c>
      <c r="I39" s="5" t="e">
        <f>IF(D39="", "", IF(D39="Unknown", "Unknown", TEXT(D39+_xlfn.XLOOKUP(G39,Seeds!A:A,Seeds!I:I),"yyyy-MM-dd")&amp;"—"&amp;TEXT(D39+_xlfn.XLOOKUP(G39,Seeds!A:A,Seeds!J:J),"yyyy-MM-dd")))</f>
        <v>#VALUE!</v>
      </c>
      <c r="N3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0" spans="1:33">
      <c r="A40" s="6" t="s">
        <v>526</v>
      </c>
      <c r="B40" s="1"/>
      <c r="C4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40" s="8" t="s">
        <v>524</v>
      </c>
      <c r="E40" s="1" t="s">
        <v>157</v>
      </c>
      <c r="F40" s="3" t="s">
        <v>629</v>
      </c>
      <c r="G40" s="1" t="s">
        <v>322</v>
      </c>
      <c r="H40" s="1" t="s">
        <v>153</v>
      </c>
      <c r="I40" s="5" t="e">
        <f>IF(D40="", "", IF(D40="Unknown", "Unknown", TEXT(D40+_xlfn.XLOOKUP(G40,Seeds!A:A,Seeds!I:I),"yyyy-MM-dd")&amp;"—"&amp;TEXT(D40+_xlfn.XLOOKUP(G40,Seeds!A:A,Seeds!J:J),"yyyy-MM-dd")))</f>
        <v>#VALUE!</v>
      </c>
      <c r="N4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1" spans="1:33">
      <c r="A41" s="6" t="s">
        <v>528</v>
      </c>
      <c r="B41" s="1"/>
      <c r="C4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D41" s="8" t="s">
        <v>524</v>
      </c>
      <c r="E41" s="1" t="s">
        <v>157</v>
      </c>
      <c r="F41" s="3" t="s">
        <v>629</v>
      </c>
      <c r="G41" s="1" t="s">
        <v>322</v>
      </c>
      <c r="H41" s="1" t="s">
        <v>153</v>
      </c>
      <c r="I41" s="5" t="e">
        <f>IF(D41="", "", IF(D41="Unknown", "Unknown", TEXT(D41+_xlfn.XLOOKUP(G41,Seeds!A:A,Seeds!I:I),"yyyy-MM-dd")&amp;"—"&amp;TEXT(D41+_xlfn.XLOOKUP(G41,Seeds!A:A,Seeds!J:J),"yyyy-MM-dd")))</f>
        <v>#VALUE!</v>
      </c>
      <c r="N4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2" spans="1:33">
      <c r="B42" s="1"/>
      <c r="C4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2" s="5" t="str">
        <f>IF(D42="", "", IF(D42="Unknown", "Unknown", TEXT(D42+_xlfn.XLOOKUP(G42,Seeds!A:A,Seeds!I:I),"yyyy-MM-dd")&amp;"—"&amp;TEXT(D42+_xlfn.XLOOKUP(G42,Seeds!A:A,Seeds!J:J),"yyyy-MM-dd")))</f>
        <v/>
      </c>
      <c r="N4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3" spans="1:33">
      <c r="B43" s="1"/>
      <c r="C4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3" s="5" t="str">
        <f>IF(D43="", "", IF(D43="Unknown", "Unknown", TEXT(D43+_xlfn.XLOOKUP(G43,Seeds!A:A,Seeds!I:I),"yyyy-MM-dd")&amp;"—"&amp;TEXT(D43+_xlfn.XLOOKUP(G43,Seeds!A:A,Seeds!J:J),"yyyy-MM-dd")))</f>
        <v/>
      </c>
      <c r="N4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4" spans="1:33">
      <c r="B44" s="1"/>
      <c r="C4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4" s="5" t="str">
        <f>IF(D44="", "", IF(D44="Unknown", "Unknown", TEXT(D44+_xlfn.XLOOKUP(G44,Seeds!A:A,Seeds!I:I),"yyyy-MM-dd")&amp;"—"&amp;TEXT(D44+_xlfn.XLOOKUP(G44,Seeds!A:A,Seeds!J:J),"yyyy-MM-dd")))</f>
        <v/>
      </c>
      <c r="N4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5" spans="1:33">
      <c r="B45" s="1"/>
      <c r="C4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5" s="5" t="str">
        <f>IF(D45="", "", IF(D45="Unknown", "Unknown", TEXT(D45+_xlfn.XLOOKUP(G45,Seeds!A:A,Seeds!I:I),"yyyy-MM-dd")&amp;"—"&amp;TEXT(D45+_xlfn.XLOOKUP(G45,Seeds!A:A,Seeds!J:J),"yyyy-MM-dd")))</f>
        <v/>
      </c>
      <c r="N4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6" spans="1:33">
      <c r="B46" s="1"/>
      <c r="C4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6" s="5" t="str">
        <f>IF(D46="", "", IF(D46="Unknown", "Unknown", TEXT(D46+_xlfn.XLOOKUP(G46,Seeds!A:A,Seeds!I:I),"yyyy-MM-dd")&amp;"—"&amp;TEXT(D46+_xlfn.XLOOKUP(G46,Seeds!A:A,Seeds!J:J),"yyyy-MM-dd")))</f>
        <v/>
      </c>
      <c r="N4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7" spans="1:33">
      <c r="B47" s="1"/>
      <c r="C4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7" s="5" t="str">
        <f>IF(D47="", "", IF(D47="Unknown", "Unknown", TEXT(D47+_xlfn.XLOOKUP(G47,Seeds!A:A,Seeds!I:I),"yyyy-MM-dd")&amp;"—"&amp;TEXT(D47+_xlfn.XLOOKUP(G47,Seeds!A:A,Seeds!J:J),"yyyy-MM-dd")))</f>
        <v/>
      </c>
      <c r="N4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8" spans="1:33">
      <c r="B48" s="1"/>
      <c r="C4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8" s="5" t="str">
        <f>IF(D48="", "", IF(D48="Unknown", "Unknown", TEXT(D48+_xlfn.XLOOKUP(G48,Seeds!A:A,Seeds!I:I),"yyyy-MM-dd")&amp;"—"&amp;TEXT(D48+_xlfn.XLOOKUP(G48,Seeds!A:A,Seeds!J:J),"yyyy-MM-dd")))</f>
        <v/>
      </c>
      <c r="N4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49" spans="2:14">
      <c r="B49" s="1"/>
      <c r="C4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49" s="5" t="str">
        <f>IF(D49="", "", IF(D49="Unknown", "Unknown", TEXT(D49+_xlfn.XLOOKUP(G49,Seeds!A:A,Seeds!I:I),"yyyy-MM-dd")&amp;"—"&amp;TEXT(D49+_xlfn.XLOOKUP(G49,Seeds!A:A,Seeds!J:J),"yyyy-MM-dd")))</f>
        <v/>
      </c>
      <c r="N4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0" spans="2:14">
      <c r="B50" s="1"/>
      <c r="C5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0" s="5" t="str">
        <f>IF(D50="", "", IF(D50="Unknown", "Unknown", TEXT(D50+_xlfn.XLOOKUP(G50,Seeds!A:A,Seeds!I:I),"yyyy-MM-dd")&amp;"—"&amp;TEXT(D50+_xlfn.XLOOKUP(G50,Seeds!A:A,Seeds!J:J),"yyyy-MM-dd")))</f>
        <v/>
      </c>
      <c r="N5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1" spans="2:14">
      <c r="B51" s="1"/>
      <c r="C5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1" s="5" t="str">
        <f>IF(D51="", "", IF(D51="Unknown", "Unknown", TEXT(D51+_xlfn.XLOOKUP(G51,Seeds!A:A,Seeds!I:I),"yyyy-MM-dd")&amp;"—"&amp;TEXT(D51+_xlfn.XLOOKUP(G51,Seeds!A:A,Seeds!J:J),"yyyy-MM-dd")))</f>
        <v/>
      </c>
      <c r="N5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2" spans="2:14">
      <c r="B52" s="1"/>
      <c r="C5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2" s="5" t="str">
        <f>IF(D52="", "", IF(D52="Unknown", "Unknown", TEXT(D52+_xlfn.XLOOKUP(G52,Seeds!A:A,Seeds!I:I),"yyyy-MM-dd")&amp;"—"&amp;TEXT(D52+_xlfn.XLOOKUP(G52,Seeds!A:A,Seeds!J:J),"yyyy-MM-dd")))</f>
        <v/>
      </c>
      <c r="N5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3" spans="2:14">
      <c r="B53" s="1"/>
      <c r="C5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3" s="5" t="str">
        <f>IF(D53="", "", IF(D53="Unknown", "Unknown", TEXT(D53+_xlfn.XLOOKUP(G53,Seeds!A:A,Seeds!I:I),"yyyy-MM-dd")&amp;"—"&amp;TEXT(D53+_xlfn.XLOOKUP(G53,Seeds!A:A,Seeds!J:J),"yyyy-MM-dd")))</f>
        <v/>
      </c>
      <c r="N5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4" spans="2:14">
      <c r="B54" s="1"/>
      <c r="C5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4" s="5" t="str">
        <f>IF(D54="", "", IF(D54="Unknown", "Unknown", TEXT(D54+_xlfn.XLOOKUP(G54,Seeds!A:A,Seeds!I:I),"yyyy-MM-dd")&amp;"—"&amp;TEXT(D54+_xlfn.XLOOKUP(G54,Seeds!A:A,Seeds!J:J),"yyyy-MM-dd")))</f>
        <v/>
      </c>
      <c r="N5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5" spans="2:14">
      <c r="B55" s="1"/>
      <c r="C5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5" s="5" t="str">
        <f>IF(D55="", "", IF(D55="Unknown", "Unknown", TEXT(D55+_xlfn.XLOOKUP(G55,Seeds!A:A,Seeds!I:I),"yyyy-MM-dd")&amp;"—"&amp;TEXT(D55+_xlfn.XLOOKUP(G55,Seeds!A:A,Seeds!J:J),"yyyy-MM-dd")))</f>
        <v/>
      </c>
      <c r="N5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6" spans="2:14">
      <c r="B56" s="1"/>
      <c r="C5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6" s="5" t="str">
        <f>IF(D56="", "", IF(D56="Unknown", "Unknown", TEXT(D56+_xlfn.XLOOKUP(G56,Seeds!A:A,Seeds!I:I),"yyyy-MM-dd")&amp;"—"&amp;TEXT(D56+_xlfn.XLOOKUP(G56,Seeds!A:A,Seeds!J:J),"yyyy-MM-dd")))</f>
        <v/>
      </c>
      <c r="N5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7" spans="2:14">
      <c r="B57" s="1"/>
      <c r="C57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7" s="5" t="str">
        <f>IF(D57="", "", IF(D57="Unknown", "Unknown", TEXT(D57+_xlfn.XLOOKUP(G57,Seeds!A:A,Seeds!I:I),"yyyy-MM-dd")&amp;"—"&amp;TEXT(D57+_xlfn.XLOOKUP(G57,Seeds!A:A,Seeds!J:J),"yyyy-MM-dd")))</f>
        <v/>
      </c>
      <c r="N57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8" spans="2:14">
      <c r="B58" s="1"/>
      <c r="C58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8" s="5" t="str">
        <f>IF(D58="", "", IF(D58="Unknown", "Unknown", TEXT(D58+_xlfn.XLOOKUP(G58,Seeds!A:A,Seeds!I:I),"yyyy-MM-dd")&amp;"—"&amp;TEXT(D58+_xlfn.XLOOKUP(G58,Seeds!A:A,Seeds!J:J),"yyyy-MM-dd")))</f>
        <v/>
      </c>
      <c r="N58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59" spans="2:14">
      <c r="B59" s="1"/>
      <c r="C59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59" s="5" t="str">
        <f>IF(D59="", "", IF(D59="Unknown", "Unknown", TEXT(D59+_xlfn.XLOOKUP(G59,Seeds!A:A,Seeds!I:I),"yyyy-MM-dd")&amp;"—"&amp;TEXT(D59+_xlfn.XLOOKUP(G59,Seeds!A:A,Seeds!J:J),"yyyy-MM-dd")))</f>
        <v/>
      </c>
      <c r="N59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0" spans="2:14">
      <c r="B60" s="1"/>
      <c r="C60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0" s="5" t="str">
        <f>IF(D60="", "", IF(D60="Unknown", "Unknown", TEXT(D60+_xlfn.XLOOKUP(G60,Seeds!A:A,Seeds!I:I),"yyyy-MM-dd")&amp;"—"&amp;TEXT(D60+_xlfn.XLOOKUP(G60,Seeds!A:A,Seeds!J:J),"yyyy-MM-dd")))</f>
        <v/>
      </c>
      <c r="N60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1" spans="2:14">
      <c r="B61" s="1"/>
      <c r="C61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1" s="5" t="str">
        <f>IF(D61="", "", IF(D61="Unknown", "Unknown", TEXT(D61+_xlfn.XLOOKUP(G61,Seeds!A:A,Seeds!I:I),"yyyy-MM-dd")&amp;"—"&amp;TEXT(D61+_xlfn.XLOOKUP(G61,Seeds!A:A,Seeds!J:J),"yyyy-MM-dd")))</f>
        <v/>
      </c>
      <c r="N61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2" spans="2:14">
      <c r="B62" s="1"/>
      <c r="C62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2" s="5" t="str">
        <f>IF(D62="", "", IF(D62="Unknown", "Unknown", TEXT(D62+_xlfn.XLOOKUP(G62,Seeds!A:A,Seeds!I:I),"yyyy-MM-dd")&amp;"—"&amp;TEXT(D62+_xlfn.XLOOKUP(G62,Seeds!A:A,Seeds!J:J),"yyyy-MM-dd")))</f>
        <v/>
      </c>
      <c r="N62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3" spans="2:14">
      <c r="B63" s="1"/>
      <c r="C63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3" s="5" t="str">
        <f>IF(D63="", "", IF(D63="Unknown", "Unknown", TEXT(D63+_xlfn.XLOOKUP(G63,Seeds!A:A,Seeds!I:I),"yyyy-MM-dd")&amp;"—"&amp;TEXT(D63+_xlfn.XLOOKUP(G63,Seeds!A:A,Seeds!J:J),"yyyy-MM-dd")))</f>
        <v/>
      </c>
      <c r="N63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4" spans="2:14">
      <c r="B64" s="1"/>
      <c r="C64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4" s="5" t="str">
        <f>IF(D64="", "", IF(D64="Unknown", "Unknown", TEXT(D64+_xlfn.XLOOKUP(G64,Seeds!A:A,Seeds!I:I),"yyyy-MM-dd")&amp;"—"&amp;TEXT(D64+_xlfn.XLOOKUP(G64,Seeds!A:A,Seeds!J:J),"yyyy-MM-dd")))</f>
        <v/>
      </c>
      <c r="N64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5" spans="2:14">
      <c r="B65" s="1"/>
      <c r="C65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5" s="5" t="str">
        <f>IF(D65="", "", IF(D65="Unknown", "Unknown", TEXT(D65+_xlfn.XLOOKUP(G65,Seeds!A:A,Seeds!I:I),"yyyy-MM-dd")&amp;"—"&amp;TEXT(D65+_xlfn.XLOOKUP(G65,Seeds!A:A,Seeds!J:J),"yyyy-MM-dd")))</f>
        <v/>
      </c>
      <c r="N65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  <row r="66" spans="2:14">
      <c r="B66" s="1"/>
      <c r="C66" s="18" t="str">
        <f>IF(zzz_20260926_Seeding_and_Growing[[#This Row],[Growing Jar]]="None", "None", IF(zzz_20260926_Seeding_and_Growing[[#This Row],[Growing Jar]]="", "", _xlfn.XLOOKUP(zzz_20260926_Seeding_and_Growing[[#This Row],[Growing Jar]],Jars!A:A,Jars!C:C)))</f>
        <v/>
      </c>
      <c r="I66" s="5" t="str">
        <f>IF(D66="", "", IF(D66="Unknown", "Unknown", TEXT(D66+_xlfn.XLOOKUP(G66,Seeds!A:A,Seeds!I:I),"yyyy-MM-dd")&amp;"—"&amp;TEXT(D66+_xlfn.XLOOKUP(G66,Seeds!A:A,Seeds!J:J),"yyyy-MM-dd")))</f>
        <v/>
      </c>
      <c r="N66" s="5" t="str">
        <f>IF(zzz_20260926_Seeding_and_Growing[[#This Row],[Actual Germination]]="", "", IF(zzz_20260926_Seeding_and_Growing[[#This Row],[Actual Germination]]="None", "None", IF(zzz_20260926_Seeding_and_Growing[[#This Row],[Actual Germination]]="Unknown", "Unknown", TEXT(zzz_20260926_Seeding_and_Growing[[#This Row],[Actual Germination]]+_xlfn.XLOOKUP(zzz_20260926_Seeding_and_Growing[[#This Row],[Seed]],Seeds!A:A,Seeds!B:B),"yyyy-MM-dd"))))</f>
        <v/>
      </c>
    </row>
  </sheetData>
  <conditionalFormatting sqref="A12:J12 A37:A38 A11:Q11 L12:Q12 A13:Q36 A39:Q999999 C37:Q38 R11:AG999999">
    <cfRule type="expression" dxfId="198" priority="1">
      <formula>AND($L11="",$A11&lt;&gt;"")</formula>
    </cfRule>
  </conditionalFormatting>
  <conditionalFormatting sqref="A11:Q11 R11:AG999999 A12:J12 L12:Q12 A13:Q36 A39:Q999999 A37:A38 C37:Q38">
    <cfRule type="expression" dxfId="197" priority="2">
      <formula>AND($X11="",$L11&lt;&gt;"")</formula>
    </cfRule>
  </conditionalFormatting>
  <dataValidations count="5">
    <dataValidation type="list" allowBlank="1" showInputMessage="1" showErrorMessage="1" sqref="O11:O66" xr:uid="{AC4B5F46-6F4C-4F3D-B5B7-77A5FC2A2F7F}">
      <formula1>$O$1:$O$3</formula1>
    </dataValidation>
    <dataValidation type="list" allowBlank="1" showInputMessage="1" showErrorMessage="1" sqref="AB11:AB66" xr:uid="{77479E51-A3AC-4463-B6EE-0FFB60E8CF0A}">
      <formula1>$AB$1:$AB$8</formula1>
    </dataValidation>
    <dataValidation type="list" allowBlank="1" showInputMessage="1" showErrorMessage="1" sqref="AC20 AC22 AC28:AC32" xr:uid="{8FD0B5D5-0FBC-427B-A9A3-7325C70A39B9}">
      <formula1>$AC$1:$AC$4</formula1>
    </dataValidation>
    <dataValidation type="list" allowBlank="1" showInputMessage="1" showErrorMessage="1" sqref="AD20 AD22 AD28:AD32" xr:uid="{EAEF1ADD-F1CA-4A68-A625-8AF802D14572}">
      <formula1>$AD$1:$AD$5</formula1>
    </dataValidation>
    <dataValidation allowBlank="1" showInputMessage="1" showErrorMessage="1" sqref="AB10:AD10" xr:uid="{C74BEBA7-8DC1-4B33-A381-7E8104648D4A}"/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7DE70-A795-408C-903D-ECE2FCC5F99A}">
  <dimension ref="A1:K43"/>
  <sheetViews>
    <sheetView workbookViewId="0">
      <pane xSplit="1" topLeftCell="B3" activePane="topRight" state="frozen"/>
      <selection pane="topRight" activeCell="L45" sqref="L45"/>
    </sheetView>
  </sheetViews>
  <sheetFormatPr defaultRowHeight="15"/>
  <cols>
    <col min="1" max="1" width="9.85546875" style="1" customWidth="1"/>
    <col min="2" max="2" width="16.5703125" style="1" customWidth="1"/>
    <col min="3" max="3" width="13" style="1" customWidth="1"/>
    <col min="4" max="5" width="51" style="1" customWidth="1"/>
    <col min="6" max="6" width="44.85546875" style="1" customWidth="1"/>
    <col min="7" max="7" width="18.85546875" style="1" customWidth="1"/>
    <col min="8" max="8" width="20.140625" style="1" customWidth="1"/>
    <col min="9" max="9" width="17.85546875" style="1" customWidth="1"/>
    <col min="10" max="10" width="21.140625" style="1" customWidth="1"/>
    <col min="11" max="11" width="76" style="1" customWidth="1"/>
    <col min="12" max="16384" width="9.140625" style="1"/>
  </cols>
  <sheetData>
    <row r="1" spans="1:11">
      <c r="E1" s="1" t="s">
        <v>14</v>
      </c>
      <c r="J1" s="1" t="s">
        <v>14</v>
      </c>
    </row>
    <row r="2" spans="1:11">
      <c r="E2" s="1" t="s">
        <v>638</v>
      </c>
      <c r="J2" s="1" t="s">
        <v>36</v>
      </c>
    </row>
    <row r="3" spans="1:11">
      <c r="E3" s="3" t="s">
        <v>639</v>
      </c>
      <c r="J3" s="1" t="s">
        <v>640</v>
      </c>
    </row>
    <row r="4" spans="1:11">
      <c r="J4" s="1" t="s">
        <v>641</v>
      </c>
    </row>
    <row r="10" spans="1:11">
      <c r="A10" s="1" t="s">
        <v>150</v>
      </c>
      <c r="B10" s="1" t="s">
        <v>642</v>
      </c>
      <c r="C10" s="1" t="s">
        <v>643</v>
      </c>
      <c r="D10" s="1" t="s">
        <v>644</v>
      </c>
      <c r="E10" s="1" t="s">
        <v>645</v>
      </c>
      <c r="F10" s="1" t="s">
        <v>646</v>
      </c>
      <c r="G10" s="1" t="s">
        <v>647</v>
      </c>
      <c r="H10" s="1" t="s">
        <v>648</v>
      </c>
      <c r="I10" s="1" t="s">
        <v>649</v>
      </c>
      <c r="J10" s="1" t="s">
        <v>650</v>
      </c>
      <c r="K10" s="1" t="s">
        <v>106</v>
      </c>
    </row>
    <row r="11" spans="1:11">
      <c r="A11" s="1">
        <v>1</v>
      </c>
      <c r="B11" s="1" t="s">
        <v>597</v>
      </c>
      <c r="C11" s="1" t="s">
        <v>651</v>
      </c>
      <c r="D11" s="1" t="s">
        <v>652</v>
      </c>
      <c r="E11" s="1" t="s">
        <v>14</v>
      </c>
      <c r="F11" s="4" t="s">
        <v>653</v>
      </c>
      <c r="G11" s="4" t="s">
        <v>654</v>
      </c>
      <c r="H11" s="1" t="s">
        <v>655</v>
      </c>
      <c r="I11" s="1" t="s">
        <v>655</v>
      </c>
      <c r="J11" s="3" t="s">
        <v>14</v>
      </c>
    </row>
    <row r="12" spans="1:11">
      <c r="A12" s="1" t="s">
        <v>157</v>
      </c>
      <c r="B12" s="1" t="s">
        <v>597</v>
      </c>
      <c r="C12" s="1" t="s">
        <v>656</v>
      </c>
      <c r="D12" s="1" t="s">
        <v>652</v>
      </c>
      <c r="E12" s="3" t="s">
        <v>14</v>
      </c>
      <c r="F12" s="1" t="s">
        <v>657</v>
      </c>
      <c r="G12" s="3" t="s">
        <v>654</v>
      </c>
      <c r="H12" s="1" t="s">
        <v>621</v>
      </c>
      <c r="I12" s="1" t="s">
        <v>621</v>
      </c>
      <c r="J12" s="3" t="s">
        <v>14</v>
      </c>
    </row>
    <row r="13" spans="1:11">
      <c r="A13" s="1" t="s">
        <v>161</v>
      </c>
      <c r="B13" s="1" t="s">
        <v>597</v>
      </c>
      <c r="C13" s="1" t="s">
        <v>651</v>
      </c>
      <c r="D13" s="1" t="s">
        <v>652</v>
      </c>
      <c r="E13" s="3" t="s">
        <v>14</v>
      </c>
      <c r="F13" s="1" t="s">
        <v>658</v>
      </c>
      <c r="G13" s="3" t="s">
        <v>654</v>
      </c>
      <c r="H13" s="1" t="s">
        <v>655</v>
      </c>
      <c r="I13" s="1" t="s">
        <v>659</v>
      </c>
      <c r="J13" s="1" t="s">
        <v>14</v>
      </c>
    </row>
    <row r="14" spans="1:11">
      <c r="A14" s="1" t="s">
        <v>389</v>
      </c>
      <c r="B14" s="1" t="s">
        <v>597</v>
      </c>
      <c r="C14" s="1" t="s">
        <v>651</v>
      </c>
      <c r="D14" s="1" t="s">
        <v>652</v>
      </c>
      <c r="E14" s="3" t="s">
        <v>14</v>
      </c>
      <c r="F14" s="1" t="s">
        <v>657</v>
      </c>
      <c r="G14" s="3" t="s">
        <v>654</v>
      </c>
      <c r="H14" s="1" t="s">
        <v>621</v>
      </c>
      <c r="I14" s="1" t="s">
        <v>621</v>
      </c>
      <c r="J14" s="1" t="s">
        <v>14</v>
      </c>
    </row>
    <row r="15" spans="1:11">
      <c r="A15" s="1" t="s">
        <v>326</v>
      </c>
      <c r="B15" s="1" t="s">
        <v>597</v>
      </c>
      <c r="C15" s="1" t="s">
        <v>651</v>
      </c>
      <c r="D15" s="1" t="s">
        <v>652</v>
      </c>
      <c r="E15" s="3" t="s">
        <v>14</v>
      </c>
      <c r="F15" s="1" t="s">
        <v>660</v>
      </c>
      <c r="G15" s="3" t="s">
        <v>654</v>
      </c>
      <c r="H15" s="1" t="s">
        <v>655</v>
      </c>
      <c r="I15" s="6" t="s">
        <v>661</v>
      </c>
      <c r="J15" s="1" t="s">
        <v>14</v>
      </c>
    </row>
    <row r="16" spans="1:11">
      <c r="A16" s="1" t="s">
        <v>398</v>
      </c>
      <c r="B16" s="1" t="s">
        <v>597</v>
      </c>
      <c r="C16" s="1" t="s">
        <v>651</v>
      </c>
      <c r="D16" s="1" t="s">
        <v>652</v>
      </c>
      <c r="E16" s="3" t="s">
        <v>14</v>
      </c>
      <c r="F16" s="1" t="s">
        <v>662</v>
      </c>
      <c r="G16" s="3" t="s">
        <v>654</v>
      </c>
      <c r="H16" s="1" t="s">
        <v>621</v>
      </c>
      <c r="I16" s="8" t="s">
        <v>661</v>
      </c>
      <c r="J16" s="1" t="s">
        <v>14</v>
      </c>
      <c r="K16" s="1" t="s">
        <v>663</v>
      </c>
    </row>
    <row r="17" spans="1:11">
      <c r="A17" s="1" t="s">
        <v>404</v>
      </c>
      <c r="B17" s="1" t="s">
        <v>598</v>
      </c>
      <c r="C17" s="1" t="s">
        <v>651</v>
      </c>
      <c r="D17" s="3" t="s">
        <v>652</v>
      </c>
      <c r="E17" s="3" t="s">
        <v>14</v>
      </c>
      <c r="F17" s="1" t="s">
        <v>664</v>
      </c>
      <c r="G17" s="3" t="s">
        <v>654</v>
      </c>
      <c r="H17" s="6" t="s">
        <v>661</v>
      </c>
      <c r="I17" s="8" t="s">
        <v>661</v>
      </c>
      <c r="J17" s="1" t="s">
        <v>14</v>
      </c>
    </row>
    <row r="18" spans="1:11">
      <c r="A18" s="1" t="s">
        <v>409</v>
      </c>
      <c r="B18" s="6" t="s">
        <v>606</v>
      </c>
      <c r="C18" s="1" t="s">
        <v>651</v>
      </c>
      <c r="D18" s="3" t="s">
        <v>652</v>
      </c>
      <c r="E18" s="3" t="s">
        <v>14</v>
      </c>
      <c r="F18" s="1" t="s">
        <v>664</v>
      </c>
      <c r="G18" s="3" t="s">
        <v>654</v>
      </c>
      <c r="H18" s="1" t="s">
        <v>615</v>
      </c>
      <c r="I18" s="6" t="s">
        <v>665</v>
      </c>
      <c r="J18" s="3" t="s">
        <v>641</v>
      </c>
      <c r="K18" s="1" t="s">
        <v>666</v>
      </c>
    </row>
    <row r="27" spans="1:11">
      <c r="B27" s="25"/>
      <c r="C27" s="25"/>
      <c r="D27" s="26"/>
      <c r="E27" s="26"/>
      <c r="F27" s="24"/>
      <c r="G27" s="26"/>
      <c r="H27" s="26"/>
      <c r="I27" s="26"/>
    </row>
    <row r="28" spans="1:11">
      <c r="B28" s="30"/>
      <c r="C28" s="28"/>
      <c r="D28" s="28"/>
      <c r="E28" s="28"/>
      <c r="F28" s="28"/>
      <c r="G28" s="28"/>
      <c r="H28" s="28"/>
      <c r="I28" s="28"/>
    </row>
    <row r="29" spans="1:11">
      <c r="B29" s="25"/>
      <c r="C29" s="26"/>
      <c r="D29" s="26"/>
      <c r="E29" s="26"/>
      <c r="F29" s="25"/>
      <c r="G29" s="26"/>
      <c r="H29" s="26"/>
      <c r="I29" s="26"/>
    </row>
    <row r="30" spans="1:11">
      <c r="B30" s="30"/>
      <c r="C30" s="28"/>
      <c r="D30" s="28"/>
      <c r="E30" s="28"/>
      <c r="F30" s="29"/>
      <c r="G30" s="28"/>
      <c r="H30" s="28"/>
      <c r="I30" s="28"/>
    </row>
    <row r="31" spans="1:11">
      <c r="B31" s="32"/>
      <c r="C31" s="26"/>
      <c r="D31" s="26"/>
      <c r="E31" s="26"/>
      <c r="F31" s="25"/>
      <c r="G31" s="26"/>
      <c r="H31" s="26"/>
      <c r="I31" s="26"/>
    </row>
    <row r="32" spans="1:11">
      <c r="B32" s="33"/>
      <c r="C32" s="28"/>
      <c r="D32" s="27"/>
      <c r="E32" s="28"/>
      <c r="F32" s="30"/>
      <c r="G32" s="30"/>
      <c r="H32" s="30"/>
      <c r="I32" s="30"/>
    </row>
    <row r="33" spans="2:9">
      <c r="B33" s="31"/>
      <c r="C33" s="26"/>
      <c r="D33" s="26"/>
      <c r="E33" s="26"/>
      <c r="F33" s="25"/>
      <c r="G33" s="25"/>
      <c r="H33" s="25"/>
      <c r="I33" s="25"/>
    </row>
    <row r="34" spans="2:9">
      <c r="B34" s="33"/>
      <c r="C34" s="28"/>
      <c r="D34" s="27"/>
      <c r="E34" s="28"/>
      <c r="F34" s="28"/>
      <c r="G34" s="28"/>
      <c r="H34" s="28"/>
      <c r="I34" s="28"/>
    </row>
    <row r="35" spans="2:9">
      <c r="B35" s="31"/>
      <c r="C35" s="26"/>
      <c r="D35" s="31"/>
      <c r="E35" s="26"/>
      <c r="F35" s="25"/>
      <c r="G35" s="25"/>
      <c r="H35" s="25"/>
      <c r="I35" s="25"/>
    </row>
    <row r="36" spans="2:9">
      <c r="B36" s="33"/>
      <c r="C36" s="28"/>
      <c r="D36" s="33"/>
      <c r="E36" s="27"/>
      <c r="F36" s="28"/>
      <c r="G36" s="28"/>
      <c r="H36" s="28"/>
      <c r="I36" s="28"/>
    </row>
    <row r="37" spans="2:9">
      <c r="B37" s="31"/>
      <c r="C37" s="26"/>
      <c r="D37" s="31"/>
      <c r="E37" s="26"/>
      <c r="F37" s="26"/>
      <c r="G37" s="26"/>
      <c r="H37" s="26"/>
      <c r="I37" s="26"/>
    </row>
    <row r="38" spans="2:9">
      <c r="B38" s="33"/>
      <c r="C38" s="28"/>
      <c r="D38" s="33"/>
      <c r="E38" s="27"/>
      <c r="F38" s="28"/>
      <c r="G38" s="28"/>
      <c r="H38" s="28"/>
      <c r="I38" s="28"/>
    </row>
    <row r="39" spans="2:9">
      <c r="B39" s="31"/>
      <c r="C39" s="26"/>
      <c r="D39" s="31"/>
      <c r="E39" s="26"/>
      <c r="F39" s="26"/>
      <c r="G39" s="26"/>
      <c r="H39" s="26"/>
      <c r="I39" s="26"/>
    </row>
    <row r="40" spans="2:9">
      <c r="B40" s="27"/>
      <c r="C40" s="28"/>
      <c r="D40" s="27"/>
      <c r="E40" s="28"/>
      <c r="F40" s="28"/>
      <c r="G40" s="28"/>
      <c r="H40" s="28"/>
      <c r="I40" s="28"/>
    </row>
    <row r="41" spans="2:9">
      <c r="B41" s="32"/>
      <c r="C41" s="26"/>
      <c r="D41" s="26"/>
      <c r="E41" s="26"/>
      <c r="F41" s="26"/>
      <c r="G41" s="26"/>
      <c r="H41" s="26"/>
      <c r="I41" s="26"/>
    </row>
    <row r="42" spans="2:9">
      <c r="B42" s="27"/>
      <c r="C42" s="28"/>
      <c r="D42" s="28"/>
      <c r="E42" s="28"/>
      <c r="F42" s="28"/>
      <c r="G42" s="28"/>
      <c r="H42" s="28"/>
      <c r="I42" s="28"/>
    </row>
    <row r="43" spans="2:9">
      <c r="B43" s="32"/>
      <c r="C43" s="26"/>
      <c r="D43" s="26"/>
      <c r="E43" s="26"/>
      <c r="F43" s="26"/>
      <c r="G43" s="26"/>
      <c r="H43" s="26"/>
      <c r="I43" s="26"/>
    </row>
  </sheetData>
  <conditionalFormatting sqref="B27:I43">
    <cfRule type="expression" dxfId="161" priority="1">
      <formula>AND(#REF!="",$A37&lt;&gt;"")</formula>
    </cfRule>
  </conditionalFormatting>
  <conditionalFormatting sqref="B27:I43">
    <cfRule type="expression" dxfId="160" priority="75">
      <formula>AND($I27="",#REF!&lt;&gt;"")</formula>
    </cfRule>
  </conditionalFormatting>
  <dataValidations count="2">
    <dataValidation type="list" allowBlank="1" showInputMessage="1" showErrorMessage="1" sqref="J10:J44" xr:uid="{85662B6D-2A70-4AC4-A057-72959FA3D8F3}">
      <formula1>$J$1:$J$4</formula1>
    </dataValidation>
    <dataValidation type="list" allowBlank="1" showInputMessage="1" showErrorMessage="1" sqref="E11" xr:uid="{C3061E25-9743-46A0-9F55-2A2658F21560}">
      <formula1>$E$1:$E$4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7ADB-5BE1-4686-981F-7FE6D5A7CCA1}">
  <dimension ref="A9:S35"/>
  <sheetViews>
    <sheetView topLeftCell="F6" workbookViewId="0"/>
  </sheetViews>
  <sheetFormatPr defaultRowHeight="15"/>
  <cols>
    <col min="2" max="2" width="14.140625" customWidth="1"/>
    <col min="3" max="3" width="11" customWidth="1"/>
    <col min="4" max="4" width="18.5703125" customWidth="1"/>
    <col min="5" max="5" width="13.5703125" customWidth="1"/>
    <col min="6" max="6" width="28.140625" customWidth="1"/>
    <col min="7" max="7" width="28.140625" hidden="1" customWidth="1"/>
    <col min="8" max="8" width="21" customWidth="1"/>
    <col min="9" max="9" width="28.85546875" customWidth="1"/>
    <col min="10" max="10" width="28.85546875" hidden="1" customWidth="1"/>
    <col min="11" max="12" width="20.5703125" customWidth="1"/>
    <col min="15" max="16" width="0" hidden="1" customWidth="1"/>
    <col min="17" max="17" width="11.42578125" bestFit="1" customWidth="1"/>
    <col min="18" max="18" width="25" customWidth="1"/>
    <col min="19" max="19" width="25.5703125" customWidth="1"/>
  </cols>
  <sheetData>
    <row r="9" spans="1:19">
      <c r="F9" t="s">
        <v>667</v>
      </c>
      <c r="G9" t="s">
        <v>667</v>
      </c>
      <c r="H9" t="s">
        <v>667</v>
      </c>
      <c r="I9" t="s">
        <v>667</v>
      </c>
      <c r="J9" t="s">
        <v>667</v>
      </c>
      <c r="R9" t="s">
        <v>667</v>
      </c>
      <c r="S9" t="s">
        <v>667</v>
      </c>
    </row>
    <row r="10" spans="1:19">
      <c r="A10" t="s">
        <v>168</v>
      </c>
      <c r="B10" t="s">
        <v>668</v>
      </c>
      <c r="C10" t="s">
        <v>354</v>
      </c>
      <c r="D10" t="s">
        <v>669</v>
      </c>
      <c r="E10" t="s">
        <v>346</v>
      </c>
      <c r="F10" t="s">
        <v>349</v>
      </c>
      <c r="G10" t="s">
        <v>670</v>
      </c>
      <c r="H10" t="s">
        <v>351</v>
      </c>
      <c r="I10" t="s">
        <v>352</v>
      </c>
      <c r="J10" t="s">
        <v>671</v>
      </c>
      <c r="K10" t="s">
        <v>362</v>
      </c>
      <c r="L10" t="s">
        <v>547</v>
      </c>
      <c r="Q10" t="s">
        <v>168</v>
      </c>
      <c r="R10" t="s">
        <v>672</v>
      </c>
      <c r="S10" t="s">
        <v>549</v>
      </c>
    </row>
    <row r="11" spans="1:19">
      <c r="A11" t="s">
        <v>463</v>
      </c>
      <c r="B11" t="s">
        <v>497</v>
      </c>
      <c r="C11" t="s">
        <v>540</v>
      </c>
      <c r="D11" t="s">
        <v>14</v>
      </c>
      <c r="E11" t="s">
        <v>374</v>
      </c>
      <c r="F11" t="s">
        <v>179</v>
      </c>
      <c r="G11">
        <f>IFERROR(VALUE(xxx_JarsPlusPlus_126[[#This Row],[Water Added (mL)]]), 0)</f>
        <v>0</v>
      </c>
      <c r="H11" t="s">
        <v>673</v>
      </c>
      <c r="I11" t="s">
        <v>674</v>
      </c>
      <c r="J11">
        <f>IFERROR(VALUE(xxx_JarsPlusPlus_126[[#This Row],[Fertilizer Added (g)]]), 0)</f>
        <v>1.05</v>
      </c>
      <c r="K11" t="s">
        <v>535</v>
      </c>
      <c r="L11" t="s">
        <v>14</v>
      </c>
      <c r="N11" t="str" cm="1">
        <f t="array" ref="N11:P15">_xlfn.LET(
    _xlpm.data,
    _xlfn.GROUPBY(
        xxx_JarsPlusPlus_126[Jar],
        _xlfn.HSTACK(xxx_JarsPlusPlus_126[V:Water Added (mL)],
            xxx_JarsPlusPlus_126[V:Fertilizer Added (g)]
        ),
        _xleta.SUM,,
        0,,
        xxx_JarsPlusPlus_126[Jar]&lt;&gt;""
    ),
    _xlfn.SORTBY(_xlpm.data, VALUE(_xlfn.CHOOSECOLS(_xlpm.data, 1)), 1)
)</f>
        <v>19</v>
      </c>
      <c r="O11">
        <v>0</v>
      </c>
      <c r="P11">
        <v>1.05</v>
      </c>
      <c r="Q11" t="str" cm="1">
        <f t="array" aca="1" ref="Q11" ca="1">_xlfn.LET(_xlpm.value, OFFSET(INDIRECT(ADDRESS(ROW(),COLUMN())),0,-3), IF(_xlpm.value="","",_xlpm.value))</f>
        <v>19</v>
      </c>
      <c r="R11" cm="1">
        <f t="array" aca="1" ref="R11" ca="1">_xlfn.LET(_xlpm.value, OFFSET(INDIRECT(ADDRESS(ROW(),COLUMN())),0,-3), IF(_xlpm.value="","",_xlpm.value))</f>
        <v>0</v>
      </c>
      <c r="S11" cm="1">
        <f t="array" aca="1" ref="S11" ca="1">_xlfn.LET(_xlpm.value, OFFSET(INDIRECT(ADDRESS(ROW(),COLUMN())),0,-3), IF(_xlpm.value="","",_xlpm.value))</f>
        <v>1.05</v>
      </c>
    </row>
    <row r="12" spans="1:19">
      <c r="A12" t="s">
        <v>472</v>
      </c>
      <c r="B12" t="s">
        <v>497</v>
      </c>
      <c r="C12" t="s">
        <v>544</v>
      </c>
      <c r="D12" t="s">
        <v>14</v>
      </c>
      <c r="E12" t="s">
        <v>374</v>
      </c>
      <c r="F12" t="s">
        <v>179</v>
      </c>
      <c r="G12">
        <f>IFERROR(VALUE(xxx_JarsPlusPlus_126[[#This Row],[Water Added (mL)]]), 0)</f>
        <v>0</v>
      </c>
      <c r="H12" t="s">
        <v>633</v>
      </c>
      <c r="I12" t="s">
        <v>675</v>
      </c>
      <c r="J12">
        <f>IFERROR(VALUE(xxx_JarsPlusPlus_126[[#This Row],[Fertilizer Added (g)]]), 0)</f>
        <v>1.52</v>
      </c>
      <c r="K12" t="s">
        <v>540</v>
      </c>
      <c r="L12" t="s">
        <v>14</v>
      </c>
      <c r="N12" t="str">
        <v>21</v>
      </c>
      <c r="O12">
        <v>0</v>
      </c>
      <c r="P12">
        <v>1.52</v>
      </c>
      <c r="Q12" t="str" cm="1">
        <f t="array" aca="1" ref="Q12" ca="1">_xlfn.LET(_xlpm.value, OFFSET(INDIRECT(ADDRESS(ROW(),COLUMN())),0,-3), IF(_xlpm.value="","",_xlpm.value))</f>
        <v>21</v>
      </c>
      <c r="R12" cm="1">
        <f t="array" aca="1" ref="R12" ca="1">_xlfn.LET(_xlpm.value, OFFSET(INDIRECT(ADDRESS(ROW(),COLUMN())),0,-3), IF(_xlpm.value="","",_xlpm.value))</f>
        <v>0</v>
      </c>
      <c r="S12" cm="1">
        <f t="array" aca="1" ref="S12" ca="1">_xlfn.LET(_xlpm.value, OFFSET(INDIRECT(ADDRESS(ROW(),COLUMN())),0,-3), IF(_xlpm.value="","",_xlpm.value))</f>
        <v>1.52</v>
      </c>
    </row>
    <row r="13" spans="1:19">
      <c r="A13" t="s">
        <v>495</v>
      </c>
      <c r="B13" t="s">
        <v>497</v>
      </c>
      <c r="C13" t="s">
        <v>14</v>
      </c>
      <c r="D13" t="s">
        <v>14</v>
      </c>
      <c r="E13" t="s">
        <v>374</v>
      </c>
      <c r="F13" t="s">
        <v>179</v>
      </c>
      <c r="G13">
        <f>IFERROR(VALUE(xxx_JarsPlusPlus_126[[#This Row],[Water Added (mL)]]), 0)</f>
        <v>0</v>
      </c>
      <c r="H13" t="s">
        <v>192</v>
      </c>
      <c r="I13" t="s">
        <v>434</v>
      </c>
      <c r="J13">
        <f>IFERROR(VALUE(xxx_JarsPlusPlus_126[[#This Row],[Fertilizer Added (g)]]), 0)</f>
        <v>1.8</v>
      </c>
      <c r="K13" t="s">
        <v>535</v>
      </c>
      <c r="L13" t="s">
        <v>14</v>
      </c>
      <c r="N13" t="str">
        <v>27</v>
      </c>
      <c r="O13">
        <v>0</v>
      </c>
      <c r="P13">
        <v>1.8</v>
      </c>
      <c r="Q13" t="str" cm="1">
        <f t="array" aca="1" ref="Q13" ca="1">_xlfn.LET(_xlpm.value, OFFSET(INDIRECT(ADDRESS(ROW(),COLUMN())),0,-3), IF(_xlpm.value="","",_xlpm.value))</f>
        <v>27</v>
      </c>
      <c r="R13" cm="1">
        <f t="array" aca="1" ref="R13" ca="1">_xlfn.LET(_xlpm.value, OFFSET(INDIRECT(ADDRESS(ROW(),COLUMN())),0,-3), IF(_xlpm.value="","",_xlpm.value))</f>
        <v>0</v>
      </c>
      <c r="S13" cm="1">
        <f t="array" aca="1" ref="S13" ca="1">_xlfn.LET(_xlpm.value, OFFSET(INDIRECT(ADDRESS(ROW(),COLUMN())),0,-3), IF(_xlpm.value="","",_xlpm.value))</f>
        <v>1.8</v>
      </c>
    </row>
    <row r="14" spans="1:19">
      <c r="A14" t="s">
        <v>498</v>
      </c>
      <c r="B14" t="s">
        <v>497</v>
      </c>
      <c r="C14" t="s">
        <v>540</v>
      </c>
      <c r="D14" t="s">
        <v>14</v>
      </c>
      <c r="E14" t="s">
        <v>374</v>
      </c>
      <c r="F14" t="s">
        <v>179</v>
      </c>
      <c r="G14">
        <f>IFERROR(VALUE(xxx_JarsPlusPlus_126[[#This Row],[Water Added (mL)]]), 0)</f>
        <v>0</v>
      </c>
      <c r="H14" t="s">
        <v>193</v>
      </c>
      <c r="I14" t="s">
        <v>676</v>
      </c>
      <c r="J14">
        <f>IFERROR(VALUE(xxx_JarsPlusPlus_126[[#This Row],[Fertilizer Added (g)]]), 0)</f>
        <v>0.69399999999999995</v>
      </c>
      <c r="K14" t="s">
        <v>535</v>
      </c>
      <c r="L14" t="s">
        <v>14</v>
      </c>
      <c r="N14" t="str">
        <v>28</v>
      </c>
      <c r="O14">
        <v>0</v>
      </c>
      <c r="P14">
        <v>0.69399999999999995</v>
      </c>
      <c r="Q14" t="str" cm="1">
        <f t="array" aca="1" ref="Q14" ca="1">_xlfn.LET(_xlpm.value, OFFSET(INDIRECT(ADDRESS(ROW(),COLUMN())),0,-3), IF(_xlpm.value="","",_xlpm.value))</f>
        <v>28</v>
      </c>
      <c r="R14" cm="1">
        <f t="array" aca="1" ref="R14" ca="1">_xlfn.LET(_xlpm.value, OFFSET(INDIRECT(ADDRESS(ROW(),COLUMN())),0,-3), IF(_xlpm.value="","",_xlpm.value))</f>
        <v>0</v>
      </c>
      <c r="S14" cm="1">
        <f t="array" aca="1" ref="S14" ca="1">_xlfn.LET(_xlpm.value, OFFSET(INDIRECT(ADDRESS(ROW(),COLUMN())),0,-3), IF(_xlpm.value="","",_xlpm.value))</f>
        <v>0.69399999999999995</v>
      </c>
    </row>
    <row r="15" spans="1:19">
      <c r="A15" t="s">
        <v>503</v>
      </c>
      <c r="B15" t="s">
        <v>497</v>
      </c>
      <c r="C15" t="s">
        <v>540</v>
      </c>
      <c r="D15" t="s">
        <v>14</v>
      </c>
      <c r="E15" t="s">
        <v>374</v>
      </c>
      <c r="F15" t="s">
        <v>179</v>
      </c>
      <c r="G15">
        <f>IFERROR(VALUE(xxx_JarsPlusPlus_126[[#This Row],[Water Added (mL)]]), 0)</f>
        <v>0</v>
      </c>
      <c r="H15" t="s">
        <v>673</v>
      </c>
      <c r="I15" t="s">
        <v>677</v>
      </c>
      <c r="J15">
        <f>IFERROR(VALUE(xxx_JarsPlusPlus_126[[#This Row],[Fertilizer Added (g)]]), 0)</f>
        <v>0.89200000000000002</v>
      </c>
      <c r="K15" t="s">
        <v>540</v>
      </c>
      <c r="L15" t="s">
        <v>14</v>
      </c>
      <c r="N15" t="str">
        <v>29</v>
      </c>
      <c r="O15">
        <v>0</v>
      </c>
      <c r="P15">
        <v>0.89200000000000002</v>
      </c>
      <c r="Q15" t="str" cm="1">
        <f t="array" aca="1" ref="Q15" ca="1">_xlfn.LET(_xlpm.value, OFFSET(INDIRECT(ADDRESS(ROW(),COLUMN())),0,-3), IF(_xlpm.value="","",_xlpm.value))</f>
        <v>29</v>
      </c>
      <c r="R15" cm="1">
        <f t="array" aca="1" ref="R15" ca="1">_xlfn.LET(_xlpm.value, OFFSET(INDIRECT(ADDRESS(ROW(),COLUMN())),0,-3), IF(_xlpm.value="","",_xlpm.value))</f>
        <v>0</v>
      </c>
      <c r="S15" cm="1">
        <f t="array" aca="1" ref="S15" ca="1">_xlfn.LET(_xlpm.value, OFFSET(INDIRECT(ADDRESS(ROW(),COLUMN())),0,-3), IF(_xlpm.value="","",_xlpm.value))</f>
        <v>0.89200000000000002</v>
      </c>
    </row>
    <row r="16" spans="1:19">
      <c r="Q16" t="str" cm="1">
        <f t="array" aca="1" ref="Q16" ca="1">_xlfn.LET(_xlpm.value, OFFSET(INDIRECT(ADDRESS(ROW(),COLUMN())),0,-3), IF(_xlpm.value="","",_xlpm.value))</f>
        <v/>
      </c>
      <c r="R16" t="str" cm="1">
        <f t="array" aca="1" ref="R16" ca="1">_xlfn.LET(_xlpm.value, OFFSET(INDIRECT(ADDRESS(ROW(),COLUMN())),0,-3), IF(_xlpm.value="","",_xlpm.value))</f>
        <v/>
      </c>
      <c r="S16" t="str" cm="1">
        <f t="array" aca="1" ref="S16" ca="1">_xlfn.LET(_xlpm.value, OFFSET(INDIRECT(ADDRESS(ROW(),COLUMN())),0,-3), IF(_xlpm.value="","",_xlpm.value))</f>
        <v/>
      </c>
    </row>
    <row r="17" spans="7:19">
      <c r="G17">
        <f>IFERROR(VALUE(xxx_JarsPlusPlus_126[[#This Row],[Water Added (mL)]]), 0)</f>
        <v>0</v>
      </c>
      <c r="Q17" t="str" cm="1">
        <f t="array" aca="1" ref="Q17" ca="1">_xlfn.LET(_xlpm.value, OFFSET(INDIRECT(ADDRESS(ROW(),COLUMN())),0,-3), IF(_xlpm.value="","",_xlpm.value))</f>
        <v/>
      </c>
      <c r="R17" t="str" cm="1">
        <f t="array" aca="1" ref="R17" ca="1">_xlfn.LET(_xlpm.value, OFFSET(INDIRECT(ADDRESS(ROW(),COLUMN())),0,-3), IF(_xlpm.value="","",_xlpm.value))</f>
        <v/>
      </c>
      <c r="S17" t="str" cm="1">
        <f t="array" aca="1" ref="S17" ca="1">_xlfn.LET(_xlpm.value, OFFSET(INDIRECT(ADDRESS(ROW(),COLUMN())),0,-3), IF(_xlpm.value="","",_xlpm.value))</f>
        <v/>
      </c>
    </row>
    <row r="18" spans="7:19">
      <c r="G18">
        <f>IFERROR(VALUE(xxx_JarsPlusPlus_126[[#This Row],[Water Added (mL)]]), 0)</f>
        <v>0</v>
      </c>
      <c r="Q18" t="str" cm="1">
        <f t="array" aca="1" ref="Q18" ca="1">_xlfn.LET(_xlpm.value, OFFSET(INDIRECT(ADDRESS(ROW(),COLUMN())),0,-3), IF(_xlpm.value="","",_xlpm.value))</f>
        <v/>
      </c>
      <c r="R18" t="str" cm="1">
        <f t="array" aca="1" ref="R18" ca="1">_xlfn.LET(_xlpm.value, OFFSET(INDIRECT(ADDRESS(ROW(),COLUMN())),0,-3), IF(_xlpm.value="","",_xlpm.value))</f>
        <v/>
      </c>
      <c r="S18" t="str" cm="1">
        <f t="array" aca="1" ref="S18" ca="1">_xlfn.LET(_xlpm.value, OFFSET(INDIRECT(ADDRESS(ROW(),COLUMN())),0,-3), IF(_xlpm.value="","",_xlpm.value))</f>
        <v/>
      </c>
    </row>
    <row r="19" spans="7:19">
      <c r="G19">
        <f>IFERROR(VALUE(xxx_JarsPlusPlus_126[[#This Row],[Water Added (mL)]]), 0)</f>
        <v>0</v>
      </c>
      <c r="Q19" t="str" cm="1">
        <f t="array" aca="1" ref="Q19" ca="1">_xlfn.LET(_xlpm.value, OFFSET(INDIRECT(ADDRESS(ROW(),COLUMN())),0,-3), IF(_xlpm.value="","",_xlpm.value))</f>
        <v/>
      </c>
      <c r="R19" t="str" cm="1">
        <f t="array" aca="1" ref="R19" ca="1">_xlfn.LET(_xlpm.value, OFFSET(INDIRECT(ADDRESS(ROW(),COLUMN())),0,-3), IF(_xlpm.value="","",_xlpm.value))</f>
        <v/>
      </c>
      <c r="S19" t="str" cm="1">
        <f t="array" aca="1" ref="S19" ca="1">_xlfn.LET(_xlpm.value, OFFSET(INDIRECT(ADDRESS(ROW(),COLUMN())),0,-3), IF(_xlpm.value="","",_xlpm.value))</f>
        <v/>
      </c>
    </row>
    <row r="20" spans="7:19">
      <c r="G20">
        <f>IFERROR(VALUE(xxx_JarsPlusPlus_126[[#This Row],[Water Added (mL)]]), 0)</f>
        <v>0</v>
      </c>
      <c r="Q20" t="str" cm="1">
        <f t="array" aca="1" ref="Q20" ca="1">_xlfn.LET(_xlpm.value, OFFSET(INDIRECT(ADDRESS(ROW(),COLUMN())),0,-3), IF(_xlpm.value="","",_xlpm.value))</f>
        <v/>
      </c>
      <c r="R20" t="str" cm="1">
        <f t="array" aca="1" ref="R20" ca="1">_xlfn.LET(_xlpm.value, OFFSET(INDIRECT(ADDRESS(ROW(),COLUMN())),0,-3), IF(_xlpm.value="","",_xlpm.value))</f>
        <v/>
      </c>
      <c r="S20" t="str" cm="1">
        <f t="array" aca="1" ref="S20" ca="1">_xlfn.LET(_xlpm.value, OFFSET(INDIRECT(ADDRESS(ROW(),COLUMN())),0,-3), IF(_xlpm.value="","",_xlpm.value))</f>
        <v/>
      </c>
    </row>
    <row r="21" spans="7:19">
      <c r="G21">
        <f>IFERROR(VALUE(xxx_JarsPlusPlus_126[[#This Row],[Water Added (mL)]]), 0)</f>
        <v>0</v>
      </c>
      <c r="Q21" t="str" cm="1">
        <f t="array" aca="1" ref="Q21" ca="1">_xlfn.LET(_xlpm.value, OFFSET(INDIRECT(ADDRESS(ROW(),COLUMN())),0,-3), IF(_xlpm.value="","",_xlpm.value))</f>
        <v/>
      </c>
      <c r="R21" t="str" cm="1">
        <f t="array" aca="1" ref="R21" ca="1">_xlfn.LET(_xlpm.value, OFFSET(INDIRECT(ADDRESS(ROW(),COLUMN())),0,-3), IF(_xlpm.value="","",_xlpm.value))</f>
        <v/>
      </c>
      <c r="S21" t="str" cm="1">
        <f t="array" aca="1" ref="S21" ca="1">_xlfn.LET(_xlpm.value, OFFSET(INDIRECT(ADDRESS(ROW(),COLUMN())),0,-3), IF(_xlpm.value="","",_xlpm.value))</f>
        <v/>
      </c>
    </row>
    <row r="22" spans="7:19">
      <c r="G22">
        <f>IFERROR(VALUE(xxx_JarsPlusPlus_126[[#This Row],[Water Added (mL)]]), 0)</f>
        <v>0</v>
      </c>
      <c r="Q22" t="str" cm="1">
        <f t="array" aca="1" ref="Q22" ca="1">_xlfn.LET(_xlpm.value, OFFSET(INDIRECT(ADDRESS(ROW(),COLUMN())),0,-3), IF(_xlpm.value="","",_xlpm.value))</f>
        <v/>
      </c>
      <c r="R22" t="str" cm="1">
        <f t="array" aca="1" ref="R22" ca="1">_xlfn.LET(_xlpm.value, OFFSET(INDIRECT(ADDRESS(ROW(),COLUMN())),0,-3), IF(_xlpm.value="","",_xlpm.value))</f>
        <v/>
      </c>
      <c r="S22" t="str" cm="1">
        <f t="array" aca="1" ref="S22" ca="1">_xlfn.LET(_xlpm.value, OFFSET(INDIRECT(ADDRESS(ROW(),COLUMN())),0,-3), IF(_xlpm.value="","",_xlpm.value))</f>
        <v/>
      </c>
    </row>
    <row r="23" spans="7:19">
      <c r="G23">
        <f>IFERROR(VALUE(xxx_JarsPlusPlus_126[[#This Row],[Water Added (mL)]]), 0)</f>
        <v>0</v>
      </c>
      <c r="Q23" t="str" cm="1">
        <f t="array" aca="1" ref="Q23" ca="1">_xlfn.LET(_xlpm.value, OFFSET(INDIRECT(ADDRESS(ROW(),COLUMN())),0,-3), IF(_xlpm.value="","",_xlpm.value))</f>
        <v/>
      </c>
      <c r="R23" t="str" cm="1">
        <f t="array" aca="1" ref="R23" ca="1">_xlfn.LET(_xlpm.value, OFFSET(INDIRECT(ADDRESS(ROW(),COLUMN())),0,-3), IF(_xlpm.value="","",_xlpm.value))</f>
        <v/>
      </c>
      <c r="S23" t="str" cm="1">
        <f t="array" aca="1" ref="S23" ca="1">_xlfn.LET(_xlpm.value, OFFSET(INDIRECT(ADDRESS(ROW(),COLUMN())),0,-3), IF(_xlpm.value="","",_xlpm.value))</f>
        <v/>
      </c>
    </row>
    <row r="24" spans="7:19">
      <c r="G24">
        <f>IFERROR(VALUE(xxx_JarsPlusPlus_126[[#This Row],[Water Added (mL)]]), 0)</f>
        <v>0</v>
      </c>
      <c r="Q24" t="str" cm="1">
        <f t="array" aca="1" ref="Q24" ca="1">_xlfn.LET(_xlpm.value, OFFSET(INDIRECT(ADDRESS(ROW(),COLUMN())),0,-3), IF(_xlpm.value="","",_xlpm.value))</f>
        <v/>
      </c>
      <c r="R24" t="str" cm="1">
        <f t="array" aca="1" ref="R24" ca="1">_xlfn.LET(_xlpm.value, OFFSET(INDIRECT(ADDRESS(ROW(),COLUMN())),0,-3), IF(_xlpm.value="","",_xlpm.value))</f>
        <v/>
      </c>
      <c r="S24" t="str" cm="1">
        <f t="array" aca="1" ref="S24" ca="1">_xlfn.LET(_xlpm.value, OFFSET(INDIRECT(ADDRESS(ROW(),COLUMN())),0,-3), IF(_xlpm.value="","",_xlpm.value))</f>
        <v/>
      </c>
    </row>
    <row r="25" spans="7:19">
      <c r="G25">
        <f>IFERROR(VALUE(xxx_JarsPlusPlus_126[[#This Row],[Water Added (mL)]]), 0)</f>
        <v>0</v>
      </c>
      <c r="J25">
        <f>IFERROR(VALUE(xxx_JarsPlusPlus_126[[#This Row],[Fertilizer Added (g)]]), 0)</f>
        <v>0</v>
      </c>
      <c r="Q25" t="str" cm="1">
        <f t="array" aca="1" ref="Q25" ca="1">_xlfn.LET(_xlpm.value, OFFSET(INDIRECT(ADDRESS(ROW(),COLUMN())),0,-3), IF(_xlpm.value="","",_xlpm.value))</f>
        <v/>
      </c>
      <c r="R25" t="str" cm="1">
        <f t="array" aca="1" ref="R25" ca="1">_xlfn.LET(_xlpm.value, OFFSET(INDIRECT(ADDRESS(ROW(),COLUMN())),0,-3), IF(_xlpm.value="","",_xlpm.value))</f>
        <v/>
      </c>
      <c r="S25" t="str" cm="1">
        <f t="array" aca="1" ref="S25" ca="1">_xlfn.LET(_xlpm.value, OFFSET(INDIRECT(ADDRESS(ROW(),COLUMN())),0,-3), IF(_xlpm.value="","",_xlpm.value))</f>
        <v/>
      </c>
    </row>
    <row r="26" spans="7:19">
      <c r="G26">
        <f>IFERROR(VALUE(xxx_JarsPlusPlus_126[[#This Row],[Water Added (mL)]]), 0)</f>
        <v>0</v>
      </c>
      <c r="J26">
        <f>IFERROR(VALUE(xxx_JarsPlusPlus_126[[#This Row],[Fertilizer Added (g)]]), 0)</f>
        <v>0</v>
      </c>
      <c r="Q26" t="str" cm="1">
        <f t="array" aca="1" ref="Q26" ca="1">_xlfn.LET(_xlpm.value, OFFSET(INDIRECT(ADDRESS(ROW(),COLUMN())),0,-3), IF(_xlpm.value="","",_xlpm.value))</f>
        <v/>
      </c>
      <c r="R26" t="str" cm="1">
        <f t="array" aca="1" ref="R26" ca="1">_xlfn.LET(_xlpm.value, OFFSET(INDIRECT(ADDRESS(ROW(),COLUMN())),0,-3), IF(_xlpm.value="","",_xlpm.value))</f>
        <v/>
      </c>
      <c r="S26" t="str" cm="1">
        <f t="array" aca="1" ref="S26" ca="1">_xlfn.LET(_xlpm.value, OFFSET(INDIRECT(ADDRESS(ROW(),COLUMN())),0,-3), IF(_xlpm.value="","",_xlpm.value))</f>
        <v/>
      </c>
    </row>
    <row r="27" spans="7:19">
      <c r="G27">
        <f>IFERROR(VALUE(xxx_JarsPlusPlus_126[[#This Row],[Water Added (mL)]]), 0)</f>
        <v>0</v>
      </c>
      <c r="J27">
        <f>IFERROR(VALUE(xxx_JarsPlusPlus_126[[#This Row],[Fertilizer Added (g)]]), 0)</f>
        <v>0</v>
      </c>
      <c r="Q27" t="str" cm="1">
        <f t="array" aca="1" ref="Q27" ca="1">_xlfn.LET(_xlpm.value, OFFSET(INDIRECT(ADDRESS(ROW(),COLUMN())),0,-3), IF(_xlpm.value="","",_xlpm.value))</f>
        <v/>
      </c>
      <c r="R27" t="str" cm="1">
        <f t="array" aca="1" ref="R27" ca="1">_xlfn.LET(_xlpm.value, OFFSET(INDIRECT(ADDRESS(ROW(),COLUMN())),0,-3), IF(_xlpm.value="","",_xlpm.value))</f>
        <v/>
      </c>
      <c r="S27" t="str" cm="1">
        <f t="array" aca="1" ref="S27" ca="1">_xlfn.LET(_xlpm.value, OFFSET(INDIRECT(ADDRESS(ROW(),COLUMN())),0,-3), IF(_xlpm.value="","",_xlpm.value))</f>
        <v/>
      </c>
    </row>
    <row r="28" spans="7:19">
      <c r="G28">
        <f>IFERROR(VALUE(xxx_JarsPlusPlus_126[[#This Row],[Water Added (mL)]]), 0)</f>
        <v>0</v>
      </c>
      <c r="Q28" t="str" cm="1">
        <f t="array" aca="1" ref="Q28" ca="1">_xlfn.LET(_xlpm.value, OFFSET(INDIRECT(ADDRESS(ROW(),COLUMN())),0,-3), IF(_xlpm.value="","",_xlpm.value))</f>
        <v/>
      </c>
      <c r="R28" t="str" cm="1">
        <f t="array" aca="1" ref="R28" ca="1">_xlfn.LET(_xlpm.value, OFFSET(INDIRECT(ADDRESS(ROW(),COLUMN())),0,-3), IF(_xlpm.value="","",_xlpm.value))</f>
        <v/>
      </c>
      <c r="S28" t="str" cm="1">
        <f t="array" aca="1" ref="S28" ca="1">_xlfn.LET(_xlpm.value, OFFSET(INDIRECT(ADDRESS(ROW(),COLUMN())),0,-3), IF(_xlpm.value="","",_xlpm.value))</f>
        <v/>
      </c>
    </row>
    <row r="29" spans="7:19">
      <c r="G29">
        <f>IFERROR(VALUE(xxx_JarsPlusPlus_126[[#This Row],[Water Added (mL)]]), 0)</f>
        <v>0</v>
      </c>
      <c r="Q29" t="str" cm="1">
        <f t="array" aca="1" ref="Q29" ca="1">_xlfn.LET(_xlpm.value, OFFSET(INDIRECT(ADDRESS(ROW(),COLUMN())),0,-3), IF(_xlpm.value="","",_xlpm.value))</f>
        <v/>
      </c>
      <c r="R29" t="str" cm="1">
        <f t="array" aca="1" ref="R29" ca="1">_xlfn.LET(_xlpm.value, OFFSET(INDIRECT(ADDRESS(ROW(),COLUMN())),0,-3), IF(_xlpm.value="","",_xlpm.value))</f>
        <v/>
      </c>
      <c r="S29" t="str" cm="1">
        <f t="array" aca="1" ref="S29" ca="1">_xlfn.LET(_xlpm.value, OFFSET(INDIRECT(ADDRESS(ROW(),COLUMN())),0,-3), IF(_xlpm.value="","",_xlpm.value))</f>
        <v/>
      </c>
    </row>
    <row r="30" spans="7:19">
      <c r="G30">
        <f>IFERROR(VALUE(xxx_JarsPlusPlus_126[[#This Row],[Water Added (mL)]]), 0)</f>
        <v>0</v>
      </c>
      <c r="Q30" t="str" cm="1">
        <f t="array" aca="1" ref="Q30" ca="1">_xlfn.LET(_xlpm.value, OFFSET(INDIRECT(ADDRESS(ROW(),COLUMN())),0,-3), IF(_xlpm.value="","",_xlpm.value))</f>
        <v/>
      </c>
      <c r="R30" t="str" cm="1">
        <f t="array" aca="1" ref="R30" ca="1">_xlfn.LET(_xlpm.value, OFFSET(INDIRECT(ADDRESS(ROW(),COLUMN())),0,-3), IF(_xlpm.value="","",_xlpm.value))</f>
        <v/>
      </c>
      <c r="S30" t="str" cm="1">
        <f t="array" aca="1" ref="S30" ca="1">_xlfn.LET(_xlpm.value, OFFSET(INDIRECT(ADDRESS(ROW(),COLUMN())),0,-3), IF(_xlpm.value="","",_xlpm.value))</f>
        <v/>
      </c>
    </row>
    <row r="31" spans="7:19">
      <c r="G31">
        <f>IFERROR(VALUE(xxx_JarsPlusPlus_126[[#This Row],[Water Added (mL)]]), 0)</f>
        <v>0</v>
      </c>
      <c r="Q31" t="str" cm="1">
        <f t="array" aca="1" ref="Q31" ca="1">_xlfn.LET(_xlpm.value, OFFSET(INDIRECT(ADDRESS(ROW(),COLUMN())),0,-3), IF(_xlpm.value="","",_xlpm.value))</f>
        <v/>
      </c>
      <c r="R31" t="str" cm="1">
        <f t="array" aca="1" ref="R31" ca="1">_xlfn.LET(_xlpm.value, OFFSET(INDIRECT(ADDRESS(ROW(),COLUMN())),0,-3), IF(_xlpm.value="","",_xlpm.value))</f>
        <v/>
      </c>
      <c r="S31" t="str" cm="1">
        <f t="array" aca="1" ref="S31" ca="1">_xlfn.LET(_xlpm.value, OFFSET(INDIRECT(ADDRESS(ROW(),COLUMN())),0,-3), IF(_xlpm.value="","",_xlpm.value))</f>
        <v/>
      </c>
    </row>
    <row r="32" spans="7:19">
      <c r="G32">
        <f>IFERROR(VALUE(xxx_JarsPlusPlus_126[[#This Row],[Water Added (mL)]]), 0)</f>
        <v>0</v>
      </c>
      <c r="Q32" t="str" cm="1">
        <f t="array" aca="1" ref="Q32" ca="1">_xlfn.LET(_xlpm.value, OFFSET(INDIRECT(ADDRESS(ROW(),COLUMN())),0,-3), IF(_xlpm.value="","",_xlpm.value))</f>
        <v/>
      </c>
      <c r="R32" t="str" cm="1">
        <f t="array" aca="1" ref="R32" ca="1">_xlfn.LET(_xlpm.value, OFFSET(INDIRECT(ADDRESS(ROW(),COLUMN())),0,-3), IF(_xlpm.value="","",_xlpm.value))</f>
        <v/>
      </c>
      <c r="S32" t="str" cm="1">
        <f t="array" aca="1" ref="S32" ca="1">_xlfn.LET(_xlpm.value, OFFSET(INDIRECT(ADDRESS(ROW(),COLUMN())),0,-3), IF(_xlpm.value="","",_xlpm.value))</f>
        <v/>
      </c>
    </row>
    <row r="33" spans="7:19">
      <c r="G33">
        <f>IFERROR(VALUE(xxx_JarsPlusPlus_126[[#This Row],[Water Added (mL)]]), 0)</f>
        <v>0</v>
      </c>
      <c r="Q33" t="str" cm="1">
        <f t="array" aca="1" ref="Q33" ca="1">_xlfn.LET(_xlpm.value, OFFSET(INDIRECT(ADDRESS(ROW(),COLUMN())),0,-3), IF(_xlpm.value="","",_xlpm.value))</f>
        <v/>
      </c>
      <c r="R33" t="str" cm="1">
        <f t="array" aca="1" ref="R33" ca="1">_xlfn.LET(_xlpm.value, OFFSET(INDIRECT(ADDRESS(ROW(),COLUMN())),0,-3), IF(_xlpm.value="","",_xlpm.value))</f>
        <v/>
      </c>
      <c r="S33" t="str" cm="1">
        <f t="array" aca="1" ref="S33" ca="1">_xlfn.LET(_xlpm.value, OFFSET(INDIRECT(ADDRESS(ROW(),COLUMN())),0,-3), IF(_xlpm.value="","",_xlpm.value))</f>
        <v/>
      </c>
    </row>
    <row r="34" spans="7:19">
      <c r="G34">
        <f>IFERROR(VALUE(xxx_JarsPlusPlus_126[[#This Row],[Water Added (mL)]]), 0)</f>
        <v>0</v>
      </c>
      <c r="Q34" t="str" cm="1">
        <f t="array" aca="1" ref="Q34" ca="1">_xlfn.LET(_xlpm.value, OFFSET(INDIRECT(ADDRESS(ROW(),COLUMN())),0,-3), IF(_xlpm.value="","",_xlpm.value))</f>
        <v/>
      </c>
      <c r="R34" t="str" cm="1">
        <f t="array" aca="1" ref="R34" ca="1">_xlfn.LET(_xlpm.value, OFFSET(INDIRECT(ADDRESS(ROW(),COLUMN())),0,-3), IF(_xlpm.value="","",_xlpm.value))</f>
        <v/>
      </c>
      <c r="S34" t="str" cm="1">
        <f t="array" aca="1" ref="S34" ca="1">_xlfn.LET(_xlpm.value, OFFSET(INDIRECT(ADDRESS(ROW(),COLUMN())),0,-3), IF(_xlpm.value="","",_xlpm.value))</f>
        <v/>
      </c>
    </row>
    <row r="35" spans="7:19">
      <c r="G35">
        <f>IFERROR(VALUE(xxx_JarsPlusPlus_126[[#This Row],[Water Added (mL)]]), 0)</f>
        <v>0</v>
      </c>
    </row>
  </sheetData>
  <conditionalFormatting sqref="A11:AF999999">
    <cfRule type="expression" dxfId="146" priority="1">
      <formula>AND(A11="", $A11&lt;&gt;"", A$10&lt;&gt;"")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554B-A876-4CBC-9B86-B0D537FB1A5A}">
  <dimension ref="A9:T35"/>
  <sheetViews>
    <sheetView topLeftCell="I1" workbookViewId="0"/>
  </sheetViews>
  <sheetFormatPr defaultRowHeight="15"/>
  <cols>
    <col min="2" max="2" width="14.140625" customWidth="1"/>
    <col min="3" max="3" width="11" customWidth="1"/>
    <col min="4" max="4" width="18.5703125" customWidth="1"/>
    <col min="5" max="5" width="13.5703125" customWidth="1"/>
    <col min="6" max="6" width="28.140625" customWidth="1"/>
    <col min="7" max="7" width="28.140625" hidden="1" customWidth="1"/>
    <col min="8" max="8" width="11.28515625" customWidth="1"/>
    <col min="9" max="9" width="21" customWidth="1"/>
    <col min="10" max="10" width="28.85546875" customWidth="1"/>
    <col min="11" max="11" width="28.85546875" hidden="1" customWidth="1"/>
    <col min="12" max="13" width="20.5703125" customWidth="1"/>
    <col min="16" max="16" width="9.140625" hidden="1" customWidth="1"/>
    <col min="17" max="17" width="11.42578125" bestFit="1" customWidth="1"/>
    <col min="18" max="18" width="11.42578125" customWidth="1"/>
    <col min="19" max="19" width="25" customWidth="1"/>
    <col min="20" max="20" width="25.5703125" customWidth="1"/>
  </cols>
  <sheetData>
    <row r="9" spans="1:20">
      <c r="F9" t="s">
        <v>667</v>
      </c>
      <c r="G9" t="s">
        <v>667</v>
      </c>
      <c r="I9" t="s">
        <v>667</v>
      </c>
      <c r="J9" t="s">
        <v>667</v>
      </c>
      <c r="K9" t="s">
        <v>667</v>
      </c>
      <c r="S9" t="s">
        <v>667</v>
      </c>
      <c r="T9" t="s">
        <v>667</v>
      </c>
    </row>
    <row r="10" spans="1:20">
      <c r="A10" t="s">
        <v>168</v>
      </c>
      <c r="B10" t="s">
        <v>668</v>
      </c>
      <c r="C10" t="s">
        <v>354</v>
      </c>
      <c r="D10" t="s">
        <v>669</v>
      </c>
      <c r="E10" t="s">
        <v>346</v>
      </c>
      <c r="F10" t="s">
        <v>349</v>
      </c>
      <c r="G10" t="s">
        <v>670</v>
      </c>
      <c r="H10" t="s">
        <v>200</v>
      </c>
      <c r="I10" t="s">
        <v>351</v>
      </c>
      <c r="J10" t="s">
        <v>352</v>
      </c>
      <c r="K10" t="s">
        <v>671</v>
      </c>
      <c r="L10" t="s">
        <v>362</v>
      </c>
      <c r="M10" t="s">
        <v>547</v>
      </c>
      <c r="Q10" t="s">
        <v>168</v>
      </c>
      <c r="R10" t="s">
        <v>200</v>
      </c>
      <c r="S10" t="s">
        <v>672</v>
      </c>
      <c r="T10" t="s">
        <v>549</v>
      </c>
    </row>
    <row r="11" spans="1:20">
      <c r="A11" t="s">
        <v>463</v>
      </c>
      <c r="B11" t="s">
        <v>497</v>
      </c>
      <c r="C11" t="s">
        <v>540</v>
      </c>
      <c r="D11" t="s">
        <v>14</v>
      </c>
      <c r="E11" t="s">
        <v>374</v>
      </c>
      <c r="F11" t="s">
        <v>179</v>
      </c>
      <c r="G11">
        <f>IFERROR(VALUE(xxx_JarsPlusPlus_123123[[#This Row],[Water Added (mL)]]), 0)</f>
        <v>0</v>
      </c>
      <c r="H11" s="10" t="s">
        <v>236</v>
      </c>
      <c r="I11" t="s">
        <v>673</v>
      </c>
      <c r="J11" t="s">
        <v>674</v>
      </c>
      <c r="K11">
        <f>IFERROR(VALUE(xxx_JarsPlusPlus_123123[[#This Row],[Fertilizer Added (g)]]), 0)</f>
        <v>1.05</v>
      </c>
      <c r="L11" t="s">
        <v>535</v>
      </c>
      <c r="M11" t="s">
        <v>14</v>
      </c>
      <c r="O11" s="45" t="str" cm="1">
        <f t="array" ref="O11:P16">_xlfn.LET(
    _xlpm.data,
    _xlfn.UNIQUE(
        _xlfn._xlws.FILTER(
            _xlfn.HSTACK(
                xxx_JarsPlusPlus_123123[Jar],
                xxx_JarsPlusPlus_123123[Fertilizer]
            ),
            xxx_JarsPlusPlus_123123[Jar]&lt;&gt;""
        )
    ),
    _xlfn.SORTBY(_xlpm.data, _xlfn.CHOOSECOLS(_xlpm.data, 1), 1)
)</f>
        <v>19</v>
      </c>
      <c r="P11" t="str">
        <v>12-4-16</v>
      </c>
      <c r="Q11" t="str" cm="1">
        <f t="array" aca="1" ref="Q11" ca="1">_xlfn.LET(_xlpm.value, OFFSET(INDIRECT(ADDRESS(ROW(),COLUMN())),0,-2), IF(_xlpm.value="","",_xlpm.value))</f>
        <v>19</v>
      </c>
      <c r="R11" t="str" cm="1">
        <f t="array" aca="1" ref="R11" ca="1">_xlfn.LET(_xlpm.value, OFFSET(INDIRECT(ADDRESS(ROW(),COLUMN())),0,-2), IF(_xlpm.value="","",_xlpm.value))</f>
        <v>12-4-16</v>
      </c>
      <c r="S11">
        <f ca="1">IF(xxx_JarsPlusPlus_244[[#This Row],[Jar]]="", "", IFERROR(AVERAGEIFS(xxx_JarsPlusPlus_123123[V:Water Added (mL)], xxx_JarsPlusPlus_123123[Jar], xxx_JarsPlusPlus_244[[#This Row],[Jar]]), " "))</f>
        <v>0</v>
      </c>
      <c r="T11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1.05</v>
      </c>
    </row>
    <row r="12" spans="1:20">
      <c r="A12" t="s">
        <v>472</v>
      </c>
      <c r="B12" t="s">
        <v>497</v>
      </c>
      <c r="C12" t="s">
        <v>544</v>
      </c>
      <c r="D12" t="s">
        <v>14</v>
      </c>
      <c r="E12" t="s">
        <v>374</v>
      </c>
      <c r="F12" t="s">
        <v>179</v>
      </c>
      <c r="G12">
        <f>IFERROR(VALUE(xxx_JarsPlusPlus_123123[[#This Row],[Water Added (mL)]]), 0)</f>
        <v>0</v>
      </c>
      <c r="H12" s="10" t="s">
        <v>236</v>
      </c>
      <c r="I12" t="s">
        <v>633</v>
      </c>
      <c r="J12" t="s">
        <v>675</v>
      </c>
      <c r="K12">
        <f>IFERROR(VALUE(xxx_JarsPlusPlus_123123[[#This Row],[Fertilizer Added (g)]]), 0)</f>
        <v>1.52</v>
      </c>
      <c r="L12" t="s">
        <v>540</v>
      </c>
      <c r="M12" t="s">
        <v>14</v>
      </c>
      <c r="O12" t="str">
        <v>21</v>
      </c>
      <c r="P12" t="str">
        <v>12-4-16</v>
      </c>
      <c r="Q12" t="str" cm="1">
        <f t="array" aca="1" ref="Q12" ca="1">_xlfn.LET(_xlpm.value, OFFSET(INDIRECT(ADDRESS(ROW(),COLUMN())),0,-2), IF(_xlpm.value="","",_xlpm.value))</f>
        <v>21</v>
      </c>
      <c r="R12" t="str" cm="1">
        <f t="array" aca="1" ref="R12" ca="1">_xlfn.LET(_xlpm.value, OFFSET(INDIRECT(ADDRESS(ROW(),COLUMN())),0,-2), IF(_xlpm.value="","",_xlpm.value))</f>
        <v>12-4-16</v>
      </c>
      <c r="S12">
        <f ca="1">IF(xxx_JarsPlusPlus_244[[#This Row],[Jar]]="", "", IFERROR(AVERAGEIFS(xxx_JarsPlusPlus_123123[V:Water Added (mL)], xxx_JarsPlusPlus_123123[Jar], xxx_JarsPlusPlus_244[[#This Row],[Jar]]), " "))</f>
        <v>0</v>
      </c>
      <c r="T12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1.52</v>
      </c>
    </row>
    <row r="13" spans="1:20">
      <c r="A13" s="10" t="s">
        <v>495</v>
      </c>
      <c r="B13" t="s">
        <v>497</v>
      </c>
      <c r="C13" t="s">
        <v>14</v>
      </c>
      <c r="D13" t="s">
        <v>14</v>
      </c>
      <c r="E13" t="s">
        <v>374</v>
      </c>
      <c r="F13" t="s">
        <v>179</v>
      </c>
      <c r="G13">
        <f>IFERROR(VALUE(xxx_JarsPlusPlus_123123[[#This Row],[Water Added (mL)]]), 0)</f>
        <v>0</v>
      </c>
      <c r="H13" s="10" t="s">
        <v>236</v>
      </c>
      <c r="I13" t="s">
        <v>192</v>
      </c>
      <c r="J13" t="s">
        <v>434</v>
      </c>
      <c r="K13">
        <f>IFERROR(VALUE(xxx_JarsPlusPlus_123123[[#This Row],[Fertilizer Added (g)]]), 0)</f>
        <v>1.8</v>
      </c>
      <c r="L13" t="s">
        <v>535</v>
      </c>
      <c r="M13" t="s">
        <v>14</v>
      </c>
      <c r="O13" t="str">
        <v>27</v>
      </c>
      <c r="P13" t="str">
        <v>12-4-16</v>
      </c>
      <c r="Q13" t="str" cm="1">
        <f t="array" aca="1" ref="Q13" ca="1">_xlfn.LET(_xlpm.value, OFFSET(INDIRECT(ADDRESS(ROW(),COLUMN())),0,-2), IF(_xlpm.value="","",_xlpm.value))</f>
        <v>27</v>
      </c>
      <c r="R13" t="str" cm="1">
        <f t="array" aca="1" ref="R13" ca="1">_xlfn.LET(_xlpm.value, OFFSET(INDIRECT(ADDRESS(ROW(),COLUMN())),0,-2), IF(_xlpm.value="","",_xlpm.value))</f>
        <v>12-4-16</v>
      </c>
      <c r="S13">
        <f ca="1">IF(xxx_JarsPlusPlus_244[[#This Row],[Jar]]="", "", IFERROR(AVERAGEIFS(xxx_JarsPlusPlus_123123[V:Water Added (mL)], xxx_JarsPlusPlus_123123[Jar], xxx_JarsPlusPlus_244[[#This Row],[Jar]]), " "))</f>
        <v>0</v>
      </c>
      <c r="T13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1.8</v>
      </c>
    </row>
    <row r="14" spans="1:20">
      <c r="A14" t="s">
        <v>498</v>
      </c>
      <c r="B14" t="s">
        <v>497</v>
      </c>
      <c r="C14" t="s">
        <v>540</v>
      </c>
      <c r="D14" t="s">
        <v>14</v>
      </c>
      <c r="E14" t="s">
        <v>374</v>
      </c>
      <c r="F14" t="s">
        <v>179</v>
      </c>
      <c r="G14">
        <f>IFERROR(VALUE(xxx_JarsPlusPlus_123123[[#This Row],[Water Added (mL)]]), 0)</f>
        <v>0</v>
      </c>
      <c r="H14" s="10" t="s">
        <v>236</v>
      </c>
      <c r="I14" t="s">
        <v>193</v>
      </c>
      <c r="J14" t="s">
        <v>676</v>
      </c>
      <c r="K14">
        <f>IFERROR(VALUE(xxx_JarsPlusPlus_123123[[#This Row],[Fertilizer Added (g)]]), 0)</f>
        <v>0.69399999999999995</v>
      </c>
      <c r="L14" t="s">
        <v>535</v>
      </c>
      <c r="M14" t="s">
        <v>14</v>
      </c>
      <c r="O14" t="str">
        <v>27</v>
      </c>
      <c r="P14" t="str">
        <v>Epsom Salt</v>
      </c>
      <c r="Q14" t="str" cm="1">
        <f t="array" aca="1" ref="Q14" ca="1">_xlfn.LET(_xlpm.value, OFFSET(INDIRECT(ADDRESS(ROW(),COLUMN())),0,-2), IF(_xlpm.value="","",_xlpm.value))</f>
        <v>27</v>
      </c>
      <c r="R14" t="str" cm="1">
        <f t="array" aca="1" ref="R14" ca="1">_xlfn.LET(_xlpm.value, OFFSET(INDIRECT(ADDRESS(ROW(),COLUMN())),0,-2), IF(_xlpm.value="","",_xlpm.value))</f>
        <v>Epsom Salt</v>
      </c>
      <c r="S14">
        <f ca="1">IF(xxx_JarsPlusPlus_244[[#This Row],[Jar]]="", "", IFERROR(AVERAGEIFS(xxx_JarsPlusPlus_123123[V:Water Added (mL)], xxx_JarsPlusPlus_123123[Jar], xxx_JarsPlusPlus_244[[#This Row],[Jar]]), " "))</f>
        <v>0</v>
      </c>
      <c r="T14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0.32</v>
      </c>
    </row>
    <row r="15" spans="1:20">
      <c r="A15" t="s">
        <v>503</v>
      </c>
      <c r="B15" t="s">
        <v>497</v>
      </c>
      <c r="C15" t="s">
        <v>540</v>
      </c>
      <c r="D15" t="s">
        <v>14</v>
      </c>
      <c r="E15" t="s">
        <v>374</v>
      </c>
      <c r="F15" t="s">
        <v>179</v>
      </c>
      <c r="G15">
        <f>IFERROR(VALUE(xxx_JarsPlusPlus_123123[[#This Row],[Water Added (mL)]]), 0)</f>
        <v>0</v>
      </c>
      <c r="H15" s="10" t="s">
        <v>236</v>
      </c>
      <c r="I15" t="s">
        <v>673</v>
      </c>
      <c r="J15" t="s">
        <v>677</v>
      </c>
      <c r="K15">
        <f>IFERROR(VALUE(xxx_JarsPlusPlus_123123[[#This Row],[Fertilizer Added (g)]]), 0)</f>
        <v>0.89200000000000002</v>
      </c>
      <c r="L15" t="s">
        <v>540</v>
      </c>
      <c r="M15" t="s">
        <v>14</v>
      </c>
      <c r="O15" t="str">
        <v>28</v>
      </c>
      <c r="P15" t="str">
        <v>12-4-16</v>
      </c>
      <c r="Q15" t="str" cm="1">
        <f t="array" aca="1" ref="Q15" ca="1">_xlfn.LET(_xlpm.value, OFFSET(INDIRECT(ADDRESS(ROW(),COLUMN())),0,-2), IF(_xlpm.value="","",_xlpm.value))</f>
        <v>28</v>
      </c>
      <c r="R15" t="str" cm="1">
        <f t="array" aca="1" ref="R15" ca="1">_xlfn.LET(_xlpm.value, OFFSET(INDIRECT(ADDRESS(ROW(),COLUMN())),0,-2), IF(_xlpm.value="","",_xlpm.value))</f>
        <v>12-4-16</v>
      </c>
      <c r="S15">
        <f ca="1">IF(xxx_JarsPlusPlus_244[[#This Row],[Jar]]="", "", IFERROR(AVERAGEIFS(xxx_JarsPlusPlus_123123[V:Water Added (mL)], xxx_JarsPlusPlus_123123[Jar], xxx_JarsPlusPlus_244[[#This Row],[Jar]]), " "))</f>
        <v>0</v>
      </c>
      <c r="T15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0.69399999999999995</v>
      </c>
    </row>
    <row r="16" spans="1:20">
      <c r="A16" s="10" t="s">
        <v>495</v>
      </c>
      <c r="B16" s="10" t="s">
        <v>678</v>
      </c>
      <c r="C16" t="s">
        <v>14</v>
      </c>
      <c r="D16" t="s">
        <v>14</v>
      </c>
      <c r="E16" t="s">
        <v>374</v>
      </c>
      <c r="F16" s="10" t="s">
        <v>179</v>
      </c>
      <c r="H16" s="10" t="s">
        <v>233</v>
      </c>
      <c r="I16" s="10" t="s">
        <v>179</v>
      </c>
      <c r="J16" s="10" t="s">
        <v>679</v>
      </c>
      <c r="K16">
        <f>IFERROR(VALUE(xxx_JarsPlusPlus_123123[[#This Row],[Fertilizer Added (g)]]), 0)</f>
        <v>0.32</v>
      </c>
      <c r="L16" t="s">
        <v>14</v>
      </c>
      <c r="M16" t="s">
        <v>14</v>
      </c>
      <c r="O16" t="str">
        <v>29</v>
      </c>
      <c r="P16" t="str">
        <v>12-4-16</v>
      </c>
      <c r="Q16" t="str" cm="1">
        <f t="array" aca="1" ref="Q16" ca="1">_xlfn.LET(_xlpm.value, OFFSET(INDIRECT(ADDRESS(ROW(),COLUMN())),0,-2), IF(_xlpm.value="","",_xlpm.value))</f>
        <v>29</v>
      </c>
      <c r="R16" t="str" cm="1">
        <f t="array" aca="1" ref="R16" ca="1">_xlfn.LET(_xlpm.value, OFFSET(INDIRECT(ADDRESS(ROW(),COLUMN())),0,-2), IF(_xlpm.value="","",_xlpm.value))</f>
        <v>12-4-16</v>
      </c>
      <c r="S16">
        <f ca="1">IF(xxx_JarsPlusPlus_244[[#This Row],[Jar]]="", "", IFERROR(AVERAGEIFS(xxx_JarsPlusPlus_123123[V:Water Added (mL)], xxx_JarsPlusPlus_123123[Jar], xxx_JarsPlusPlus_244[[#This Row],[Jar]]), " "))</f>
        <v>0</v>
      </c>
      <c r="T16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>0.89200000000000002</v>
      </c>
    </row>
    <row r="17" spans="7:20">
      <c r="G17">
        <f>IFERROR(VALUE(xxx_JarsPlusPlus_123123[[#This Row],[Water Added (mL)]]), 0)</f>
        <v>0</v>
      </c>
      <c r="K17">
        <f>IFERROR(VALUE(xxx_JarsPlusPlus_123123[[#This Row],[Fertilizer Added (g)]]), 0)</f>
        <v>0</v>
      </c>
      <c r="Q17" t="str" cm="1">
        <f t="array" aca="1" ref="Q17" ca="1">_xlfn.LET(_xlpm.value, OFFSET(INDIRECT(ADDRESS(ROW(),COLUMN())),0,-2), IF(_xlpm.value="","",_xlpm.value))</f>
        <v/>
      </c>
      <c r="R17" t="str" cm="1">
        <f t="array" aca="1" ref="R17" ca="1">_xlfn.LET(_xlpm.value, OFFSET(INDIRECT(ADDRESS(ROW(),COLUMN())),0,-2), IF(_xlpm.value="","",_xlpm.value))</f>
        <v/>
      </c>
      <c r="S17" t="str">
        <f ca="1">IF(xxx_JarsPlusPlus_244[[#This Row],[Jar]]="", "", IFERROR(AVERAGEIFS(xxx_JarsPlusPlus_123123[V:Water Added (mL)], xxx_JarsPlusPlus_123123[Jar], xxx_JarsPlusPlus_244[[#This Row],[Jar]]), " "))</f>
        <v/>
      </c>
      <c r="T17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18" spans="7:20">
      <c r="G18">
        <f>IFERROR(VALUE(xxx_JarsPlusPlus_123123[[#This Row],[Water Added (mL)]]), 0)</f>
        <v>0</v>
      </c>
      <c r="K18">
        <f>IFERROR(VALUE(xxx_JarsPlusPlus_123123[[#This Row],[Fertilizer Added (g)]]), 0)</f>
        <v>0</v>
      </c>
      <c r="Q18" t="str" cm="1">
        <f t="array" aca="1" ref="Q18" ca="1">_xlfn.LET(_xlpm.value, OFFSET(INDIRECT(ADDRESS(ROW(),COLUMN())),0,-2), IF(_xlpm.value="","",_xlpm.value))</f>
        <v/>
      </c>
      <c r="R18" t="str" cm="1">
        <f t="array" aca="1" ref="R18" ca="1">_xlfn.LET(_xlpm.value, OFFSET(INDIRECT(ADDRESS(ROW(),COLUMN())),0,-2), IF(_xlpm.value="","",_xlpm.value))</f>
        <v/>
      </c>
      <c r="S18" t="str">
        <f ca="1">IF(xxx_JarsPlusPlus_244[[#This Row],[Jar]]="", "", IFERROR(AVERAGEIFS(xxx_JarsPlusPlus_123123[V:Water Added (mL)], xxx_JarsPlusPlus_123123[Jar], xxx_JarsPlusPlus_244[[#This Row],[Jar]]), " "))</f>
        <v/>
      </c>
      <c r="T18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19" spans="7:20">
      <c r="G19">
        <f>IFERROR(VALUE(xxx_JarsPlusPlus_123123[[#This Row],[Water Added (mL)]]), 0)</f>
        <v>0</v>
      </c>
      <c r="K19">
        <f>IFERROR(VALUE(xxx_JarsPlusPlus_123123[[#This Row],[Fertilizer Added (g)]]), 0)</f>
        <v>0</v>
      </c>
      <c r="Q19" t="str" cm="1">
        <f t="array" aca="1" ref="Q19" ca="1">_xlfn.LET(_xlpm.value, OFFSET(INDIRECT(ADDRESS(ROW(),COLUMN())),0,-2), IF(_xlpm.value="","",_xlpm.value))</f>
        <v/>
      </c>
      <c r="R19" t="str" cm="1">
        <f t="array" aca="1" ref="R19" ca="1">_xlfn.LET(_xlpm.value, OFFSET(INDIRECT(ADDRESS(ROW(),COLUMN())),0,-2), IF(_xlpm.value="","",_xlpm.value))</f>
        <v/>
      </c>
      <c r="S19" t="str">
        <f ca="1">IF(xxx_JarsPlusPlus_244[[#This Row],[Jar]]="", "", IFERROR(AVERAGEIFS(xxx_JarsPlusPlus_123123[V:Water Added (mL)], xxx_JarsPlusPlus_123123[Jar], xxx_JarsPlusPlus_244[[#This Row],[Jar]]), " "))</f>
        <v/>
      </c>
      <c r="T19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0" spans="7:20">
      <c r="G20">
        <f>IFERROR(VALUE(xxx_JarsPlusPlus_123123[[#This Row],[Water Added (mL)]]), 0)</f>
        <v>0</v>
      </c>
      <c r="K20">
        <f>IFERROR(VALUE(xxx_JarsPlusPlus_123123[[#This Row],[Fertilizer Added (g)]]), 0)</f>
        <v>0</v>
      </c>
      <c r="Q20" t="str" cm="1">
        <f t="array" aca="1" ref="Q20" ca="1">_xlfn.LET(_xlpm.value, OFFSET(INDIRECT(ADDRESS(ROW(),COLUMN())),0,-2), IF(_xlpm.value="","",_xlpm.value))</f>
        <v/>
      </c>
      <c r="R20" t="str" cm="1">
        <f t="array" aca="1" ref="R20" ca="1">_xlfn.LET(_xlpm.value, OFFSET(INDIRECT(ADDRESS(ROW(),COLUMN())),0,-2), IF(_xlpm.value="","",_xlpm.value))</f>
        <v/>
      </c>
      <c r="S20" t="str">
        <f ca="1">IF(xxx_JarsPlusPlus_244[[#This Row],[Jar]]="", "", IFERROR(AVERAGEIFS(xxx_JarsPlusPlus_123123[V:Water Added (mL)], xxx_JarsPlusPlus_123123[Jar], xxx_JarsPlusPlus_244[[#This Row],[Jar]]), " "))</f>
        <v/>
      </c>
      <c r="T20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1" spans="7:20">
      <c r="G21">
        <f>IFERROR(VALUE(xxx_JarsPlusPlus_123123[[#This Row],[Water Added (mL)]]), 0)</f>
        <v>0</v>
      </c>
      <c r="K21">
        <f>IFERROR(VALUE(xxx_JarsPlusPlus_123123[[#This Row],[Fertilizer Added (g)]]), 0)</f>
        <v>0</v>
      </c>
      <c r="Q21" t="str" cm="1">
        <f t="array" aca="1" ref="Q21" ca="1">_xlfn.LET(_xlpm.value, OFFSET(INDIRECT(ADDRESS(ROW(),COLUMN())),0,-2), IF(_xlpm.value="","",_xlpm.value))</f>
        <v/>
      </c>
      <c r="R21" t="str" cm="1">
        <f t="array" aca="1" ref="R21" ca="1">_xlfn.LET(_xlpm.value, OFFSET(INDIRECT(ADDRESS(ROW(),COLUMN())),0,-2), IF(_xlpm.value="","",_xlpm.value))</f>
        <v/>
      </c>
      <c r="S21" t="str">
        <f ca="1">IF(xxx_JarsPlusPlus_244[[#This Row],[Jar]]="", "", IFERROR(AVERAGEIFS(xxx_JarsPlusPlus_123123[V:Water Added (mL)], xxx_JarsPlusPlus_123123[Jar], xxx_JarsPlusPlus_244[[#This Row],[Jar]]), " "))</f>
        <v/>
      </c>
      <c r="T21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2" spans="7:20">
      <c r="G22">
        <f>IFERROR(VALUE(xxx_JarsPlusPlus_123123[[#This Row],[Water Added (mL)]]), 0)</f>
        <v>0</v>
      </c>
      <c r="K22">
        <f>IFERROR(VALUE(xxx_JarsPlusPlus_123123[[#This Row],[Fertilizer Added (g)]]), 0)</f>
        <v>0</v>
      </c>
      <c r="Q22" t="str" cm="1">
        <f t="array" aca="1" ref="Q22" ca="1">_xlfn.LET(_xlpm.value, OFFSET(INDIRECT(ADDRESS(ROW(),COLUMN())),0,-2), IF(_xlpm.value="","",_xlpm.value))</f>
        <v/>
      </c>
      <c r="R22" t="str" cm="1">
        <f t="array" aca="1" ref="R22" ca="1">_xlfn.LET(_xlpm.value, OFFSET(INDIRECT(ADDRESS(ROW(),COLUMN())),0,-2), IF(_xlpm.value="","",_xlpm.value))</f>
        <v/>
      </c>
      <c r="S22" t="str">
        <f ca="1">IF(xxx_JarsPlusPlus_244[[#This Row],[Jar]]="", "", IFERROR(AVERAGEIFS(xxx_JarsPlusPlus_123123[V:Water Added (mL)], xxx_JarsPlusPlus_123123[Jar], xxx_JarsPlusPlus_244[[#This Row],[Jar]]), " "))</f>
        <v/>
      </c>
      <c r="T22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3" spans="7:20">
      <c r="G23">
        <f>IFERROR(VALUE(xxx_JarsPlusPlus_123123[[#This Row],[Water Added (mL)]]), 0)</f>
        <v>0</v>
      </c>
      <c r="K23">
        <f>IFERROR(VALUE(xxx_JarsPlusPlus_123123[[#This Row],[Fertilizer Added (g)]]), 0)</f>
        <v>0</v>
      </c>
      <c r="Q23" t="str" cm="1">
        <f t="array" aca="1" ref="Q23" ca="1">_xlfn.LET(_xlpm.value, OFFSET(INDIRECT(ADDRESS(ROW(),COLUMN())),0,-2), IF(_xlpm.value="","",_xlpm.value))</f>
        <v/>
      </c>
      <c r="R23" t="str" cm="1">
        <f t="array" aca="1" ref="R23" ca="1">_xlfn.LET(_xlpm.value, OFFSET(INDIRECT(ADDRESS(ROW(),COLUMN())),0,-2), IF(_xlpm.value="","",_xlpm.value))</f>
        <v/>
      </c>
      <c r="S23" t="str">
        <f ca="1">IF(xxx_JarsPlusPlus_244[[#This Row],[Jar]]="", "", IFERROR(AVERAGEIFS(xxx_JarsPlusPlus_123123[V:Water Added (mL)], xxx_JarsPlusPlus_123123[Jar], xxx_JarsPlusPlus_244[[#This Row],[Jar]]), " "))</f>
        <v/>
      </c>
      <c r="T23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4" spans="7:20">
      <c r="G24">
        <f>IFERROR(VALUE(xxx_JarsPlusPlus_123123[[#This Row],[Water Added (mL)]]), 0)</f>
        <v>0</v>
      </c>
      <c r="K24">
        <f>IFERROR(VALUE(xxx_JarsPlusPlus_123123[[#This Row],[Fertilizer Added (g)]]), 0)</f>
        <v>0</v>
      </c>
      <c r="Q24" t="str" cm="1">
        <f t="array" aca="1" ref="Q24" ca="1">_xlfn.LET(_xlpm.value, OFFSET(INDIRECT(ADDRESS(ROW(),COLUMN())),0,-2), IF(_xlpm.value="","",_xlpm.value))</f>
        <v/>
      </c>
      <c r="R24" t="str" cm="1">
        <f t="array" aca="1" ref="R24" ca="1">_xlfn.LET(_xlpm.value, OFFSET(INDIRECT(ADDRESS(ROW(),COLUMN())),0,-2), IF(_xlpm.value="","",_xlpm.value))</f>
        <v/>
      </c>
      <c r="S24" t="str">
        <f ca="1">IF(xxx_JarsPlusPlus_244[[#This Row],[Jar]]="", "", IFERROR(AVERAGEIFS(xxx_JarsPlusPlus_123123[V:Water Added (mL)], xxx_JarsPlusPlus_123123[Jar], xxx_JarsPlusPlus_244[[#This Row],[Jar]]), " "))</f>
        <v/>
      </c>
      <c r="T24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5" spans="7:20">
      <c r="G25">
        <f>IFERROR(VALUE(xxx_JarsPlusPlus_123123[[#This Row],[Water Added (mL)]]), 0)</f>
        <v>0</v>
      </c>
      <c r="K25">
        <f>IFERROR(VALUE(xxx_JarsPlusPlus_123123[[#This Row],[Fertilizer Added (g)]]), 0)</f>
        <v>0</v>
      </c>
      <c r="Q25" t="str" cm="1">
        <f t="array" aca="1" ref="Q25" ca="1">_xlfn.LET(_xlpm.value, OFFSET(INDIRECT(ADDRESS(ROW(),COLUMN())),0,-2), IF(_xlpm.value="","",_xlpm.value))</f>
        <v/>
      </c>
      <c r="R25" t="str" cm="1">
        <f t="array" aca="1" ref="R25" ca="1">_xlfn.LET(_xlpm.value, OFFSET(INDIRECT(ADDRESS(ROW(),COLUMN())),0,-2), IF(_xlpm.value="","",_xlpm.value))</f>
        <v/>
      </c>
      <c r="S25" t="str">
        <f ca="1">IF(xxx_JarsPlusPlus_244[[#This Row],[Jar]]="", "", IFERROR(AVERAGEIFS(xxx_JarsPlusPlus_123123[V:Water Added (mL)], xxx_JarsPlusPlus_123123[Jar], xxx_JarsPlusPlus_244[[#This Row],[Jar]]), " "))</f>
        <v/>
      </c>
      <c r="T25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6" spans="7:20">
      <c r="G26">
        <f>IFERROR(VALUE(xxx_JarsPlusPlus_123123[[#This Row],[Water Added (mL)]]), 0)</f>
        <v>0</v>
      </c>
      <c r="K26">
        <f>IFERROR(VALUE(xxx_JarsPlusPlus_123123[[#This Row],[Fertilizer Added (g)]]), 0)</f>
        <v>0</v>
      </c>
      <c r="Q26" t="str" cm="1">
        <f t="array" aca="1" ref="Q26" ca="1">_xlfn.LET(_xlpm.value, OFFSET(INDIRECT(ADDRESS(ROW(),COLUMN())),0,-2), IF(_xlpm.value="","",_xlpm.value))</f>
        <v/>
      </c>
      <c r="R26" t="str" cm="1">
        <f t="array" aca="1" ref="R26" ca="1">_xlfn.LET(_xlpm.value, OFFSET(INDIRECT(ADDRESS(ROW(),COLUMN())),0,-2), IF(_xlpm.value="","",_xlpm.value))</f>
        <v/>
      </c>
      <c r="S26" t="str">
        <f ca="1">IF(xxx_JarsPlusPlus_244[[#This Row],[Jar]]="", "", IFERROR(AVERAGEIFS(xxx_JarsPlusPlus_123123[V:Water Added (mL)], xxx_JarsPlusPlus_123123[Jar], xxx_JarsPlusPlus_244[[#This Row],[Jar]]), " "))</f>
        <v/>
      </c>
      <c r="T26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7" spans="7:20">
      <c r="G27">
        <f>IFERROR(VALUE(xxx_JarsPlusPlus_123123[[#This Row],[Water Added (mL)]]), 0)</f>
        <v>0</v>
      </c>
      <c r="K27">
        <f>IFERROR(VALUE(xxx_JarsPlusPlus_123123[[#This Row],[Fertilizer Added (g)]]), 0)</f>
        <v>0</v>
      </c>
      <c r="Q27" t="str" cm="1">
        <f t="array" aca="1" ref="Q27" ca="1">_xlfn.LET(_xlpm.value, OFFSET(INDIRECT(ADDRESS(ROW(),COLUMN())),0,-2), IF(_xlpm.value="","",_xlpm.value))</f>
        <v/>
      </c>
      <c r="R27" t="str" cm="1">
        <f t="array" aca="1" ref="R27" ca="1">_xlfn.LET(_xlpm.value, OFFSET(INDIRECT(ADDRESS(ROW(),COLUMN())),0,-2), IF(_xlpm.value="","",_xlpm.value))</f>
        <v/>
      </c>
      <c r="S27" t="str">
        <f ca="1">IF(xxx_JarsPlusPlus_244[[#This Row],[Jar]]="", "", IFERROR(AVERAGEIFS(xxx_JarsPlusPlus_123123[V:Water Added (mL)], xxx_JarsPlusPlus_123123[Jar], xxx_JarsPlusPlus_244[[#This Row],[Jar]]), " "))</f>
        <v/>
      </c>
      <c r="T27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8" spans="7:20">
      <c r="G28">
        <f>IFERROR(VALUE(xxx_JarsPlusPlus_123123[[#This Row],[Water Added (mL)]]), 0)</f>
        <v>0</v>
      </c>
      <c r="K28">
        <f>IFERROR(VALUE(xxx_JarsPlusPlus_123123[[#This Row],[Fertilizer Added (g)]]), 0)</f>
        <v>0</v>
      </c>
      <c r="Q28" t="str" cm="1">
        <f t="array" aca="1" ref="Q28" ca="1">_xlfn.LET(_xlpm.value, OFFSET(INDIRECT(ADDRESS(ROW(),COLUMN())),0,-2), IF(_xlpm.value="","",_xlpm.value))</f>
        <v/>
      </c>
      <c r="R28" t="str" cm="1">
        <f t="array" aca="1" ref="R28" ca="1">_xlfn.LET(_xlpm.value, OFFSET(INDIRECT(ADDRESS(ROW(),COLUMN())),0,-2), IF(_xlpm.value="","",_xlpm.value))</f>
        <v/>
      </c>
      <c r="S28" t="str">
        <f ca="1">IF(xxx_JarsPlusPlus_244[[#This Row],[Jar]]="", "", IFERROR(AVERAGEIFS(xxx_JarsPlusPlus_123123[V:Water Added (mL)], xxx_JarsPlusPlus_123123[Jar], xxx_JarsPlusPlus_244[[#This Row],[Jar]]), " "))</f>
        <v/>
      </c>
      <c r="T28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29" spans="7:20">
      <c r="G29">
        <f>IFERROR(VALUE(xxx_JarsPlusPlus_123123[[#This Row],[Water Added (mL)]]), 0)</f>
        <v>0</v>
      </c>
      <c r="K29">
        <f>IFERROR(VALUE(xxx_JarsPlusPlus_123123[[#This Row],[Fertilizer Added (g)]]), 0)</f>
        <v>0</v>
      </c>
      <c r="Q29" t="str" cm="1">
        <f t="array" aca="1" ref="Q29" ca="1">_xlfn.LET(_xlpm.value, OFFSET(INDIRECT(ADDRESS(ROW(),COLUMN())),0,-2), IF(_xlpm.value="","",_xlpm.value))</f>
        <v/>
      </c>
      <c r="R29" t="str" cm="1">
        <f t="array" aca="1" ref="R29" ca="1">_xlfn.LET(_xlpm.value, OFFSET(INDIRECT(ADDRESS(ROW(),COLUMN())),0,-2), IF(_xlpm.value="","",_xlpm.value))</f>
        <v/>
      </c>
      <c r="S29" t="str">
        <f ca="1">IF(xxx_JarsPlusPlus_244[[#This Row],[Jar]]="", "", IFERROR(AVERAGEIFS(xxx_JarsPlusPlus_123123[V:Water Added (mL)], xxx_JarsPlusPlus_123123[Jar], xxx_JarsPlusPlus_244[[#This Row],[Jar]]), " "))</f>
        <v/>
      </c>
      <c r="T29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0" spans="7:20">
      <c r="G30">
        <f>IFERROR(VALUE(xxx_JarsPlusPlus_123123[[#This Row],[Water Added (mL)]]), 0)</f>
        <v>0</v>
      </c>
      <c r="K30">
        <f>IFERROR(VALUE(xxx_JarsPlusPlus_123123[[#This Row],[Fertilizer Added (g)]]), 0)</f>
        <v>0</v>
      </c>
      <c r="Q30" t="str" cm="1">
        <f t="array" aca="1" ref="Q30" ca="1">_xlfn.LET(_xlpm.value, OFFSET(INDIRECT(ADDRESS(ROW(),COLUMN())),0,-2), IF(_xlpm.value="","",_xlpm.value))</f>
        <v/>
      </c>
      <c r="R30" t="str" cm="1">
        <f t="array" aca="1" ref="R30" ca="1">_xlfn.LET(_xlpm.value, OFFSET(INDIRECT(ADDRESS(ROW(),COLUMN())),0,-2), IF(_xlpm.value="","",_xlpm.value))</f>
        <v/>
      </c>
      <c r="S30" t="str">
        <f ca="1">IF(xxx_JarsPlusPlus_244[[#This Row],[Jar]]="", "", IFERROR(AVERAGEIFS(xxx_JarsPlusPlus_123123[V:Water Added (mL)], xxx_JarsPlusPlus_123123[Jar], xxx_JarsPlusPlus_244[[#This Row],[Jar]]), " "))</f>
        <v/>
      </c>
      <c r="T30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1" spans="7:20">
      <c r="G31">
        <f>IFERROR(VALUE(xxx_JarsPlusPlus_123123[[#This Row],[Water Added (mL)]]), 0)</f>
        <v>0</v>
      </c>
      <c r="K31">
        <f>IFERROR(VALUE(xxx_JarsPlusPlus_123123[[#This Row],[Fertilizer Added (g)]]), 0)</f>
        <v>0</v>
      </c>
      <c r="Q31" t="str" cm="1">
        <f t="array" aca="1" ref="Q31" ca="1">_xlfn.LET(_xlpm.value, OFFSET(INDIRECT(ADDRESS(ROW(),COLUMN())),0,-2), IF(_xlpm.value="","",_xlpm.value))</f>
        <v/>
      </c>
      <c r="R31" t="str" cm="1">
        <f t="array" aca="1" ref="R31" ca="1">_xlfn.LET(_xlpm.value, OFFSET(INDIRECT(ADDRESS(ROW(),COLUMN())),0,-2), IF(_xlpm.value="","",_xlpm.value))</f>
        <v/>
      </c>
      <c r="S31" t="str">
        <f ca="1">IF(xxx_JarsPlusPlus_244[[#This Row],[Jar]]="", "", IFERROR(AVERAGEIFS(xxx_JarsPlusPlus_123123[V:Water Added (mL)], xxx_JarsPlusPlus_123123[Jar], xxx_JarsPlusPlus_244[[#This Row],[Jar]]), " "))</f>
        <v/>
      </c>
      <c r="T31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2" spans="7:20">
      <c r="G32">
        <f>IFERROR(VALUE(xxx_JarsPlusPlus_123123[[#This Row],[Water Added (mL)]]), 0)</f>
        <v>0</v>
      </c>
      <c r="K32">
        <f>IFERROR(VALUE(xxx_JarsPlusPlus_123123[[#This Row],[Fertilizer Added (g)]]), 0)</f>
        <v>0</v>
      </c>
      <c r="Q32" t="str" cm="1">
        <f t="array" aca="1" ref="Q32" ca="1">_xlfn.LET(_xlpm.value, OFFSET(INDIRECT(ADDRESS(ROW(),COLUMN())),0,-2), IF(_xlpm.value="","",_xlpm.value))</f>
        <v/>
      </c>
      <c r="R32" t="str" cm="1">
        <f t="array" aca="1" ref="R32" ca="1">_xlfn.LET(_xlpm.value, OFFSET(INDIRECT(ADDRESS(ROW(),COLUMN())),0,-2), IF(_xlpm.value="","",_xlpm.value))</f>
        <v/>
      </c>
      <c r="S32" t="str">
        <f ca="1">IF(xxx_JarsPlusPlus_244[[#This Row],[Jar]]="", "", IFERROR(AVERAGEIFS(xxx_JarsPlusPlus_123123[V:Water Added (mL)], xxx_JarsPlusPlus_123123[Jar], xxx_JarsPlusPlus_244[[#This Row],[Jar]]), " "))</f>
        <v/>
      </c>
      <c r="T32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3" spans="7:20">
      <c r="G33">
        <f>IFERROR(VALUE(xxx_JarsPlusPlus_123123[[#This Row],[Water Added (mL)]]), 0)</f>
        <v>0</v>
      </c>
      <c r="K33">
        <f>IFERROR(VALUE(xxx_JarsPlusPlus_123123[[#This Row],[Fertilizer Added (g)]]), 0)</f>
        <v>0</v>
      </c>
      <c r="Q33" t="str" cm="1">
        <f t="array" aca="1" ref="Q33" ca="1">_xlfn.LET(_xlpm.value, OFFSET(INDIRECT(ADDRESS(ROW(),COLUMN())),0,-2), IF(_xlpm.value="","",_xlpm.value))</f>
        <v/>
      </c>
      <c r="R33" t="str" cm="1">
        <f t="array" aca="1" ref="R33" ca="1">_xlfn.LET(_xlpm.value, OFFSET(INDIRECT(ADDRESS(ROW(),COLUMN())),0,-2), IF(_xlpm.value="","",_xlpm.value))</f>
        <v/>
      </c>
      <c r="S33" t="str">
        <f ca="1">IF(xxx_JarsPlusPlus_244[[#This Row],[Jar]]="", "", IFERROR(AVERAGEIFS(xxx_JarsPlusPlus_123123[V:Water Added (mL)], xxx_JarsPlusPlus_123123[Jar], xxx_JarsPlusPlus_244[[#This Row],[Jar]]), " "))</f>
        <v/>
      </c>
      <c r="T33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4" spans="7:20">
      <c r="G34">
        <f>IFERROR(VALUE(xxx_JarsPlusPlus_123123[[#This Row],[Water Added (mL)]]), 0)</f>
        <v>0</v>
      </c>
      <c r="K34">
        <f>IFERROR(VALUE(xxx_JarsPlusPlus_123123[[#This Row],[Fertilizer Added (g)]]), 0)</f>
        <v>0</v>
      </c>
      <c r="Q34" t="str" cm="1">
        <f t="array" aca="1" ref="Q34" ca="1">_xlfn.LET(_xlpm.value, OFFSET(INDIRECT(ADDRESS(ROW(),COLUMN())),0,-2), IF(_xlpm.value="","",_xlpm.value))</f>
        <v/>
      </c>
      <c r="R34" t="str" cm="1">
        <f t="array" aca="1" ref="R34" ca="1">_xlfn.LET(_xlpm.value, OFFSET(INDIRECT(ADDRESS(ROW(),COLUMN())),0,-2), IF(_xlpm.value="","",_xlpm.value))</f>
        <v/>
      </c>
      <c r="S34" t="str">
        <f ca="1">IF(xxx_JarsPlusPlus_244[[#This Row],[Jar]]="", "", IFERROR(AVERAGEIFS(xxx_JarsPlusPlus_123123[V:Water Added (mL)], xxx_JarsPlusPlus_123123[Jar], xxx_JarsPlusPlus_244[[#This Row],[Jar]]), " "))</f>
        <v/>
      </c>
      <c r="T34" t="str">
        <f ca="1">IF(xxx_JarsPlusPlus_244[[#This Row],[Jar]]="", "", IFERROR(AVERAGEIFS(xxx_JarsPlusPlus_123123[V:Fertilizer Added (g)], xxx_JarsPlusPlus_123123[Jar], xxx_JarsPlusPlus_244[[#This Row],[Jar]], xxx_JarsPlusPlus_123123[Fertilizer], xxx_JarsPlusPlus_244[[#This Row],[Fertilizer]]), " "))</f>
        <v/>
      </c>
    </row>
    <row r="35" spans="7:20">
      <c r="G35">
        <f>IFERROR(VALUE(xxx_JarsPlusPlus_123123[[#This Row],[Water Added (mL)]]), 0)</f>
        <v>0</v>
      </c>
      <c r="K35">
        <f>IFERROR(VALUE(xxx_JarsPlusPlus_123123[[#This Row],[Fertilizer Added (g)]]), 0)</f>
        <v>0</v>
      </c>
    </row>
  </sheetData>
  <conditionalFormatting sqref="A11:AG999999">
    <cfRule type="expression" dxfId="145" priority="2">
      <formula>AND(A11="", $A11&lt;&gt;"", A$10&lt;&gt;"")</formula>
    </cfRule>
  </conditionalFormatting>
  <conditionalFormatting sqref="A11:AX99999">
    <cfRule type="expression" dxfId="144" priority="1">
      <formula>_xlfn.ISFORMULA(A11)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3F4B-847E-4126-9A7E-B001B6DEA184}">
  <dimension ref="A9:V89"/>
  <sheetViews>
    <sheetView topLeftCell="A15" workbookViewId="0">
      <selection activeCell="U8" sqref="U8"/>
    </sheetView>
  </sheetViews>
  <sheetFormatPr defaultRowHeight="15"/>
  <cols>
    <col min="1" max="1" width="9.28515625" customWidth="1"/>
    <col min="2" max="2" width="14.140625" customWidth="1"/>
    <col min="3" max="3" width="13.5703125" customWidth="1"/>
    <col min="4" max="4" width="19.42578125" customWidth="1"/>
    <col min="5" max="5" width="28.140625" hidden="1" customWidth="1"/>
    <col min="6" max="6" width="11.28515625" customWidth="1"/>
    <col min="7" max="7" width="19.85546875" customWidth="1"/>
    <col min="8" max="8" width="28.85546875" hidden="1" customWidth="1"/>
    <col min="9" max="9" width="11.28515625" customWidth="1"/>
    <col min="10" max="10" width="18.28515625" customWidth="1"/>
    <col min="12" max="13" width="0" hidden="1" customWidth="1"/>
    <col min="14" max="14" width="11.42578125" bestFit="1" customWidth="1"/>
    <col min="15" max="15" width="14.28515625" customWidth="1"/>
    <col min="16" max="16" width="25.28515625" customWidth="1"/>
    <col min="18" max="18" width="0" hidden="1" customWidth="1"/>
    <col min="19" max="19" width="9.140625" hidden="1" customWidth="1"/>
    <col min="20" max="20" width="11.42578125" bestFit="1" customWidth="1"/>
    <col min="21" max="21" width="11.42578125" customWidth="1"/>
    <col min="22" max="22" width="26" customWidth="1"/>
  </cols>
  <sheetData>
    <row r="9" spans="1:22">
      <c r="D9" t="s">
        <v>667</v>
      </c>
      <c r="E9" t="s">
        <v>667</v>
      </c>
      <c r="G9" t="s">
        <v>667</v>
      </c>
      <c r="H9" t="s">
        <v>667</v>
      </c>
    </row>
    <row r="10" spans="1:22">
      <c r="A10" t="s">
        <v>168</v>
      </c>
      <c r="B10" t="s">
        <v>668</v>
      </c>
      <c r="C10" t="s">
        <v>346</v>
      </c>
      <c r="D10" t="s">
        <v>349</v>
      </c>
      <c r="E10" t="s">
        <v>670</v>
      </c>
      <c r="F10" t="s">
        <v>200</v>
      </c>
      <c r="G10" t="s">
        <v>352</v>
      </c>
      <c r="H10" t="s">
        <v>671</v>
      </c>
      <c r="I10" t="s">
        <v>362</v>
      </c>
      <c r="J10" t="s">
        <v>547</v>
      </c>
      <c r="N10" t="s">
        <v>168</v>
      </c>
      <c r="O10" t="s">
        <v>346</v>
      </c>
      <c r="P10" t="s">
        <v>672</v>
      </c>
      <c r="T10" t="s">
        <v>168</v>
      </c>
      <c r="U10" t="s">
        <v>200</v>
      </c>
      <c r="V10" t="s">
        <v>549</v>
      </c>
    </row>
    <row r="11" spans="1:22">
      <c r="A11" t="s">
        <v>153</v>
      </c>
      <c r="B11" t="s">
        <v>368</v>
      </c>
      <c r="C11" t="s">
        <v>369</v>
      </c>
      <c r="D11" t="s">
        <v>370</v>
      </c>
      <c r="E11">
        <f>IFERROR(VALUE(JarsPlusPlus_1[[#This Row],[Water Added (mL)]]), 0)</f>
        <v>1750</v>
      </c>
      <c r="F11" t="s">
        <v>236</v>
      </c>
      <c r="G11" t="s">
        <v>371</v>
      </c>
      <c r="H11">
        <f>IFERROR(VALUE(JarsPlusPlus_1[[#This Row],[Fertilizer Added (g)]]), 0)</f>
        <v>1.48</v>
      </c>
      <c r="I11" t="s">
        <v>372</v>
      </c>
      <c r="J11" t="s">
        <v>373</v>
      </c>
      <c r="L11" t="str" cm="1">
        <f t="array" ref="L11:M53">_xlfn.LET(
    _xlpm.data,
    _xlfn.UNIQUE(
        _xlfn._xlws.FILTER(
            _xlfn.HSTACK(
                JarsPlusPlus_1[Jar],
                JarsPlusPlus_1[Water Type]
            ),
            (JarsPlusPlus_1[Jar]&lt;&gt;"")*(JarsPlusPlus_1[Water Type]&lt;&gt;"None")
        )
    ),
    _xlfn.SORTBY(_xlpm.data, VALUE(_xlfn.CHOOSECOLS(_xlpm.data, 1)), 1)
)</f>
        <v>1</v>
      </c>
      <c r="M11" t="str">
        <v>Distilled</v>
      </c>
      <c r="N11" t="str" cm="1">
        <f t="array" aca="1" ref="N11" ca="1">_xlfn.LET(_xlpm.value, OFFSET(INDIRECT(ADDRESS(ROW(), COLUMN())), 0, -2), IF(_xlpm.value="", "", _xlpm.value))</f>
        <v>1</v>
      </c>
      <c r="O11" t="str" cm="1">
        <f t="array" aca="1" ref="O11" ca="1">_xlfn.LET(_xlpm.value, OFFSET(INDIRECT(ADDRESS(ROW(), COLUMN())), 0, -2), IF(_xlpm.value="", "", _xlpm.value))</f>
        <v>Distilled</v>
      </c>
      <c r="P11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1" t="str" cm="1">
        <f t="array" ref="R11:S55">_xlfn.LET(
    _xlpm.data,
    _xlfn.UNIQUE(
        _xlfn._xlws.FILTER(
            _xlfn.HSTACK(
                JarsPlusPlus_1[Jar],
                JarsPlusPlus_1[Fertilizer]
            ),
            (JarsPlusPlus_1[Jar]&lt;&gt;"")*(JarsPlusPlus_1[Fertilizer]&lt;&gt;"None")
        )
    ),
    _xlfn.SORTBY(_xlpm.data, VALUE(_xlfn.CHOOSECOLS(_xlpm.data, 1)), 1)
)</f>
        <v>1</v>
      </c>
      <c r="S11" t="str">
        <v>12-4-16</v>
      </c>
      <c r="T11" t="str" cm="1">
        <f t="array" aca="1" ref="T11" ca="1">_xlfn.LET(_xlpm.value, OFFSET(INDIRECT(ADDRESS(ROW(), COLUMN())), 0, -2), IF(_xlpm.value="", "", _xlpm.value))</f>
        <v>1</v>
      </c>
      <c r="U11" t="str" cm="1">
        <f t="array" aca="1" ref="U11" ca="1">_xlfn.LET(_xlpm.value, OFFSET(INDIRECT(ADDRESS(ROW(), COLUMN())), 0, -2), IF(_xlpm.value="", "", _xlpm.value))</f>
        <v>12-4-16</v>
      </c>
      <c r="V11">
        <f ca="1">IF(JarsPlusPlus_2[[#This Row],[Jar]]="", "", IFERROR(SUMIFS(JarsPlusPlus_1[V:Fertilizer Added (g)], JarsPlusPlus_1[Jar], JarsPlusPlus_2[[#This Row],[Jar]], JarsPlusPlus_1[Fertilizer], JarsPlusPlus_2[[#This Row],[Fertilizer]]), " "))</f>
        <v>1.48</v>
      </c>
    </row>
    <row r="12" spans="1:22">
      <c r="A12" t="s">
        <v>157</v>
      </c>
      <c r="B12" t="s">
        <v>368</v>
      </c>
      <c r="C12" t="s">
        <v>369</v>
      </c>
      <c r="D12" t="s">
        <v>370</v>
      </c>
      <c r="E12">
        <f>IFERROR(VALUE(JarsPlusPlus_1[[#This Row],[Water Added (mL)]]), 0)</f>
        <v>1750</v>
      </c>
      <c r="F12" t="s">
        <v>236</v>
      </c>
      <c r="G12" t="s">
        <v>371</v>
      </c>
      <c r="H12">
        <f>IFERROR(VALUE(JarsPlusPlus_1[[#This Row],[Fertilizer Added (g)]]), 0)</f>
        <v>1.48</v>
      </c>
      <c r="I12" t="s">
        <v>372</v>
      </c>
      <c r="J12" t="s">
        <v>380</v>
      </c>
      <c r="L12" t="str">
        <v>2</v>
      </c>
      <c r="M12" t="str">
        <v>Distilled</v>
      </c>
      <c r="N12" t="str" cm="1">
        <f t="array" aca="1" ref="N12" ca="1">_xlfn.LET(_xlpm.value, OFFSET(INDIRECT(ADDRESS(ROW(), COLUMN())), 0, -2), IF(_xlpm.value="", "", _xlpm.value))</f>
        <v>2</v>
      </c>
      <c r="O12" t="str" cm="1">
        <f t="array" aca="1" ref="O12" ca="1">_xlfn.LET(_xlpm.value, OFFSET(INDIRECT(ADDRESS(ROW(), COLUMN())), 0, -2), IF(_xlpm.value="", "", _xlpm.value))</f>
        <v>Distilled</v>
      </c>
      <c r="P12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2" t="str">
        <v>2</v>
      </c>
      <c r="S12" t="str">
        <v>12-4-16</v>
      </c>
      <c r="T12" t="str" cm="1">
        <f t="array" aca="1" ref="T12" ca="1">_xlfn.LET(_xlpm.value, OFFSET(INDIRECT(ADDRESS(ROW(), COLUMN())), 0, -2), IF(_xlpm.value="", "", _xlpm.value))</f>
        <v>2</v>
      </c>
      <c r="U12" t="str" cm="1">
        <f t="array" aca="1" ref="U12" ca="1">_xlfn.LET(_xlpm.value, OFFSET(INDIRECT(ADDRESS(ROW(),COLUMN())),0,-2), IF(_xlpm.value="","",_xlpm.value))</f>
        <v>12-4-16</v>
      </c>
      <c r="V12">
        <f ca="1">IF(JarsPlusPlus_2[[#This Row],[Jar]]="", "", IFERROR(SUMIFS(JarsPlusPlus_1[V:Fertilizer Added (g)], JarsPlusPlus_1[Jar], JarsPlusPlus_2[[#This Row],[Jar]], JarsPlusPlus_1[Fertilizer], JarsPlusPlus_2[[#This Row],[Fertilizer]]), " "))</f>
        <v>1.48</v>
      </c>
    </row>
    <row r="13" spans="1:22">
      <c r="A13" t="s">
        <v>161</v>
      </c>
      <c r="B13" t="s">
        <v>368</v>
      </c>
      <c r="C13" t="s">
        <v>369</v>
      </c>
      <c r="D13" t="s">
        <v>383</v>
      </c>
      <c r="E13">
        <f>IFERROR(VALUE(JarsPlusPlus_1[[#This Row],[Water Added (mL)]]), 0)</f>
        <v>1700</v>
      </c>
      <c r="F13" t="s">
        <v>236</v>
      </c>
      <c r="G13" t="s">
        <v>384</v>
      </c>
      <c r="H13">
        <f>IFERROR(VALUE(JarsPlusPlus_1[[#This Row],[Fertilizer Added (g)]]), 0)</f>
        <v>1.1100000000000001</v>
      </c>
      <c r="I13" t="s">
        <v>385</v>
      </c>
      <c r="J13" t="s">
        <v>386</v>
      </c>
      <c r="L13" t="str">
        <v>3</v>
      </c>
      <c r="M13" t="str">
        <v>Distilled</v>
      </c>
      <c r="N13" t="str" cm="1">
        <f t="array" aca="1" ref="N13" ca="1">_xlfn.LET(_xlpm.value, OFFSET(INDIRECT(ADDRESS(ROW(), COLUMN())), 0, -2), IF(_xlpm.value="", "", _xlpm.value))</f>
        <v>3</v>
      </c>
      <c r="O13" t="str" cm="1">
        <f t="array" aca="1" ref="O13" ca="1">_xlfn.LET(_xlpm.value, OFFSET(INDIRECT(ADDRESS(ROW(), COLUMN())), 0, -2), IF(_xlpm.value="", "", _xlpm.value))</f>
        <v>Distilled</v>
      </c>
      <c r="P13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3" t="str">
        <v>3</v>
      </c>
      <c r="S13" t="str">
        <v>12-4-16</v>
      </c>
      <c r="T13" t="str" cm="1">
        <f t="array" aca="1" ref="T13" ca="1">_xlfn.LET(_xlpm.value, OFFSET(INDIRECT(ADDRESS(ROW(),COLUMN())),0,-2), IF(_xlpm.value="","",_xlpm.value))</f>
        <v>3</v>
      </c>
      <c r="U13" t="str" cm="1">
        <f t="array" aca="1" ref="U13" ca="1">_xlfn.LET(_xlpm.value, OFFSET(INDIRECT(ADDRESS(ROW(),COLUMN())),0,-2), IF(_xlpm.value="","",_xlpm.value))</f>
        <v>12-4-16</v>
      </c>
      <c r="V13">
        <f ca="1">IF(JarsPlusPlus_2[[#This Row],[Jar]]="", "", IFERROR(SUMIFS(JarsPlusPlus_1[V:Fertilizer Added (g)], JarsPlusPlus_1[Jar], JarsPlusPlus_2[[#This Row],[Jar]], JarsPlusPlus_1[Fertilizer], JarsPlusPlus_2[[#This Row],[Fertilizer]]), " "))</f>
        <v>1.1100000000000001</v>
      </c>
    </row>
    <row r="14" spans="1:22">
      <c r="A14" t="s">
        <v>389</v>
      </c>
      <c r="B14" t="s">
        <v>368</v>
      </c>
      <c r="C14" t="s">
        <v>369</v>
      </c>
      <c r="D14" t="s">
        <v>383</v>
      </c>
      <c r="E14">
        <f>IFERROR(VALUE(JarsPlusPlus_1[[#This Row],[Water Added (mL)]]), 0)</f>
        <v>1700</v>
      </c>
      <c r="F14" t="s">
        <v>236</v>
      </c>
      <c r="G14" t="s">
        <v>391</v>
      </c>
      <c r="H14">
        <f>IFERROR(VALUE(JarsPlusPlus_1[[#This Row],[Fertilizer Added (g)]]), 0)</f>
        <v>1.44</v>
      </c>
      <c r="I14" t="s">
        <v>372</v>
      </c>
      <c r="J14" t="s">
        <v>392</v>
      </c>
      <c r="L14" t="str">
        <v>4</v>
      </c>
      <c r="M14" t="str">
        <v>Distilled</v>
      </c>
      <c r="N14" t="str" cm="1">
        <f t="array" aca="1" ref="N14" ca="1">_xlfn.LET(_xlpm.value, OFFSET(INDIRECT(ADDRESS(ROW(), COLUMN())), 0, -2), IF(_xlpm.value="", "", _xlpm.value))</f>
        <v>4</v>
      </c>
      <c r="O14" t="str" cm="1">
        <f t="array" aca="1" ref="O14" ca="1">_xlfn.LET(_xlpm.value, OFFSET(INDIRECT(ADDRESS(ROW(), COLUMN())), 0, -2), IF(_xlpm.value="", "", _xlpm.value))</f>
        <v>Distilled</v>
      </c>
      <c r="P14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4" t="str">
        <v>4</v>
      </c>
      <c r="S14" t="str">
        <v>12-4-16</v>
      </c>
      <c r="T14" t="str" cm="1">
        <f t="array" aca="1" ref="T14" ca="1">_xlfn.LET(_xlpm.value, OFFSET(INDIRECT(ADDRESS(ROW(),COLUMN())),0,-2), IF(_xlpm.value="","",_xlpm.value))</f>
        <v>4</v>
      </c>
      <c r="U14" t="str" cm="1">
        <f t="array" aca="1" ref="U14" ca="1">_xlfn.LET(_xlpm.value, OFFSET(INDIRECT(ADDRESS(ROW(),COLUMN())),0,-2), IF(_xlpm.value="","",_xlpm.value))</f>
        <v>12-4-16</v>
      </c>
      <c r="V14">
        <f ca="1">IF(JarsPlusPlus_2[[#This Row],[Jar]]="", "", IFERROR(SUMIFS(JarsPlusPlus_1[V:Fertilizer Added (g)], JarsPlusPlus_1[Jar], JarsPlusPlus_2[[#This Row],[Jar]], JarsPlusPlus_1[Fertilizer], JarsPlusPlus_2[[#This Row],[Fertilizer]]), " "))</f>
        <v>1.44</v>
      </c>
    </row>
    <row r="15" spans="1:22">
      <c r="A15" t="s">
        <v>326</v>
      </c>
      <c r="B15" t="s">
        <v>394</v>
      </c>
      <c r="C15" t="s">
        <v>369</v>
      </c>
      <c r="D15" t="s">
        <v>383</v>
      </c>
      <c r="E15">
        <f>IFERROR(VALUE(JarsPlusPlus_1[[#This Row],[Water Added (mL)]]), 0)</f>
        <v>1700</v>
      </c>
      <c r="F15" t="s">
        <v>236</v>
      </c>
      <c r="G15" t="s">
        <v>395</v>
      </c>
      <c r="H15">
        <f>IFERROR(VALUE(JarsPlusPlus_1[[#This Row],[Fertilizer Added (g)]]), 0)</f>
        <v>1.39</v>
      </c>
      <c r="I15" t="s">
        <v>372</v>
      </c>
      <c r="J15" t="s">
        <v>396</v>
      </c>
      <c r="L15" t="str">
        <v>5</v>
      </c>
      <c r="M15" t="str">
        <v>Distilled</v>
      </c>
      <c r="N15" t="str" cm="1">
        <f t="array" aca="1" ref="N15" ca="1">_xlfn.LET(_xlpm.value, OFFSET(INDIRECT(ADDRESS(ROW(), COLUMN())), 0, -2), IF(_xlpm.value="", "", _xlpm.value))</f>
        <v>5</v>
      </c>
      <c r="O15" t="str" cm="1">
        <f t="array" aca="1" ref="O15" ca="1">_xlfn.LET(_xlpm.value, OFFSET(INDIRECT(ADDRESS(ROW(), COLUMN())), 0, -2), IF(_xlpm.value="", "", _xlpm.value))</f>
        <v>Distilled</v>
      </c>
      <c r="P15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15" t="str">
        <v>5</v>
      </c>
      <c r="S15" t="str">
        <v>12-4-16</v>
      </c>
      <c r="T15" t="str" cm="1">
        <f t="array" aca="1" ref="T15" ca="1">_xlfn.LET(_xlpm.value, OFFSET(INDIRECT(ADDRESS(ROW(),COLUMN())),0,-2), IF(_xlpm.value="","",_xlpm.value))</f>
        <v>5</v>
      </c>
      <c r="U15" t="str" cm="1">
        <f t="array" aca="1" ref="U15" ca="1">_xlfn.LET(_xlpm.value, OFFSET(INDIRECT(ADDRESS(ROW(),COLUMN())),0,-2), IF(_xlpm.value="","",_xlpm.value))</f>
        <v>12-4-16</v>
      </c>
      <c r="V15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16" spans="1:22">
      <c r="A16" t="s">
        <v>398</v>
      </c>
      <c r="B16" t="s">
        <v>400</v>
      </c>
      <c r="C16" t="s">
        <v>369</v>
      </c>
      <c r="D16" t="s">
        <v>370</v>
      </c>
      <c r="E16">
        <f>IFERROR(VALUE(JarsPlusPlus_1[[#This Row],[Water Added (mL)]]), 0)</f>
        <v>1750</v>
      </c>
      <c r="F16" t="s">
        <v>236</v>
      </c>
      <c r="G16" t="s">
        <v>401</v>
      </c>
      <c r="H16">
        <f>IFERROR(VALUE(JarsPlusPlus_1[[#This Row],[Fertilizer Added (g)]]), 0)</f>
        <v>1.4</v>
      </c>
      <c r="I16" t="s">
        <v>385</v>
      </c>
      <c r="J16" t="s">
        <v>402</v>
      </c>
      <c r="L16" t="str">
        <v>6</v>
      </c>
      <c r="M16" t="str">
        <v>Distilled</v>
      </c>
      <c r="N16" t="str" cm="1">
        <f t="array" aca="1" ref="N16" ca="1">_xlfn.LET(_xlpm.value, OFFSET(INDIRECT(ADDRESS(ROW(), COLUMN())), 0, -2), IF(_xlpm.value="", "", _xlpm.value))</f>
        <v>6</v>
      </c>
      <c r="O16" t="str" cm="1">
        <f t="array" aca="1" ref="O16" ca="1">_xlfn.LET(_xlpm.value, OFFSET(INDIRECT(ADDRESS(ROW(), COLUMN())), 0, -2), IF(_xlpm.value="", "", _xlpm.value))</f>
        <v>Distilled</v>
      </c>
      <c r="P16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6" t="str">
        <v>6</v>
      </c>
      <c r="S16" t="str">
        <v>12-4-16</v>
      </c>
      <c r="T16" t="str" cm="1">
        <f t="array" aca="1" ref="T16" ca="1">_xlfn.LET(_xlpm.value, OFFSET(INDIRECT(ADDRESS(ROW(),COLUMN())),0,-2), IF(_xlpm.value="","",_xlpm.value))</f>
        <v>6</v>
      </c>
      <c r="U16" t="str" cm="1">
        <f t="array" aca="1" ref="U16" ca="1">_xlfn.LET(_xlpm.value, OFFSET(INDIRECT(ADDRESS(ROW(),COLUMN())),0,-2), IF(_xlpm.value="","",_xlpm.value))</f>
        <v>12-4-16</v>
      </c>
      <c r="V16">
        <f ca="1">IF(JarsPlusPlus_2[[#This Row],[Jar]]="", "", IFERROR(SUMIFS(JarsPlusPlus_1[V:Fertilizer Added (g)], JarsPlusPlus_1[Jar], JarsPlusPlus_2[[#This Row],[Jar]], JarsPlusPlus_1[Fertilizer], JarsPlusPlus_2[[#This Row],[Fertilizer]]), " "))</f>
        <v>1.4</v>
      </c>
    </row>
    <row r="17" spans="1:22">
      <c r="A17" t="s">
        <v>404</v>
      </c>
      <c r="B17" t="s">
        <v>400</v>
      </c>
      <c r="C17" t="s">
        <v>369</v>
      </c>
      <c r="D17" t="s">
        <v>370</v>
      </c>
      <c r="E17">
        <f>IFERROR(VALUE(JarsPlusPlus_1[[#This Row],[Water Added (mL)]]), 0)</f>
        <v>1750</v>
      </c>
      <c r="F17" t="s">
        <v>236</v>
      </c>
      <c r="G17" t="s">
        <v>406</v>
      </c>
      <c r="H17">
        <f>IFERROR(VALUE(JarsPlusPlus_1[[#This Row],[Fertilizer Added (g)]]), 0)</f>
        <v>1.43</v>
      </c>
      <c r="I17" t="s">
        <v>372</v>
      </c>
      <c r="J17" t="s">
        <v>407</v>
      </c>
      <c r="L17" t="str">
        <v>7</v>
      </c>
      <c r="M17" t="str">
        <v>Distilled</v>
      </c>
      <c r="N17" t="str" cm="1">
        <f t="array" aca="1" ref="N17" ca="1">_xlfn.LET(_xlpm.value, OFFSET(INDIRECT(ADDRESS(ROW(), COLUMN())), 0, -2), IF(_xlpm.value="", "", _xlpm.value))</f>
        <v>7</v>
      </c>
      <c r="O17" t="str" cm="1">
        <f t="array" aca="1" ref="O17" ca="1">_xlfn.LET(_xlpm.value, OFFSET(INDIRECT(ADDRESS(ROW(), COLUMN())), 0, -2), IF(_xlpm.value="", "", _xlpm.value))</f>
        <v>Distilled</v>
      </c>
      <c r="P17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7" t="str">
        <v>7</v>
      </c>
      <c r="S17" t="str">
        <v>12-4-16</v>
      </c>
      <c r="T17" t="str" cm="1">
        <f t="array" aca="1" ref="T17" ca="1">_xlfn.LET(_xlpm.value, OFFSET(INDIRECT(ADDRESS(ROW(),COLUMN())),0,-2), IF(_xlpm.value="","",_xlpm.value))</f>
        <v>7</v>
      </c>
      <c r="U17" t="str" cm="1">
        <f t="array" aca="1" ref="U17" ca="1">_xlfn.LET(_xlpm.value, OFFSET(INDIRECT(ADDRESS(ROW(),COLUMN())),0,-2), IF(_xlpm.value="","",_xlpm.value))</f>
        <v>12-4-16</v>
      </c>
      <c r="V17">
        <f ca="1">IF(JarsPlusPlus_2[[#This Row],[Jar]]="", "", IFERROR(SUMIFS(JarsPlusPlus_1[V:Fertilizer Added (g)], JarsPlusPlus_1[Jar], JarsPlusPlus_2[[#This Row],[Jar]], JarsPlusPlus_1[Fertilizer], JarsPlusPlus_2[[#This Row],[Fertilizer]]), " "))</f>
        <v>1.43</v>
      </c>
    </row>
    <row r="18" spans="1:22">
      <c r="A18" t="s">
        <v>409</v>
      </c>
      <c r="B18" t="s">
        <v>400</v>
      </c>
      <c r="C18" t="s">
        <v>369</v>
      </c>
      <c r="D18" t="s">
        <v>370</v>
      </c>
      <c r="E18">
        <f>IFERROR(VALUE(JarsPlusPlus_1[[#This Row],[Water Added (mL)]]), 0)</f>
        <v>1750</v>
      </c>
      <c r="F18" t="s">
        <v>236</v>
      </c>
      <c r="G18" t="s">
        <v>411</v>
      </c>
      <c r="H18">
        <f>IFERROR(VALUE(JarsPlusPlus_1[[#This Row],[Fertilizer Added (g)]]), 0)</f>
        <v>1.37</v>
      </c>
      <c r="I18" t="s">
        <v>372</v>
      </c>
      <c r="J18" t="s">
        <v>412</v>
      </c>
      <c r="L18" t="str">
        <v>8</v>
      </c>
      <c r="M18" t="str">
        <v>Distilled</v>
      </c>
      <c r="N18" t="str" cm="1">
        <f t="array" aca="1" ref="N18" ca="1">_xlfn.LET(_xlpm.value, OFFSET(INDIRECT(ADDRESS(ROW(), COLUMN())), 0, -2), IF(_xlpm.value="", "", _xlpm.value))</f>
        <v>8</v>
      </c>
      <c r="O18" t="str" cm="1">
        <f t="array" aca="1" ref="O18" ca="1">_xlfn.LET(_xlpm.value, OFFSET(INDIRECT(ADDRESS(ROW(), COLUMN())), 0, -2), IF(_xlpm.value="", "", _xlpm.value))</f>
        <v>Distilled</v>
      </c>
      <c r="P18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8" t="str">
        <v>8</v>
      </c>
      <c r="S18" t="str">
        <v>12-4-16</v>
      </c>
      <c r="T18" t="str" cm="1">
        <f t="array" aca="1" ref="T18" ca="1">_xlfn.LET(_xlpm.value, OFFSET(INDIRECT(ADDRESS(ROW(),COLUMN())),0,-2), IF(_xlpm.value="","",_xlpm.value))</f>
        <v>8</v>
      </c>
      <c r="U18" t="str" cm="1">
        <f t="array" aca="1" ref="U18" ca="1">_xlfn.LET(_xlpm.value, OFFSET(INDIRECT(ADDRESS(ROW(),COLUMN())),0,-2), IF(_xlpm.value="","",_xlpm.value))</f>
        <v>12-4-16</v>
      </c>
      <c r="V18">
        <f ca="1">IF(JarsPlusPlus_2[[#This Row],[Jar]]="", "", IFERROR(SUMIFS(JarsPlusPlus_1[V:Fertilizer Added (g)], JarsPlusPlus_1[Jar], JarsPlusPlus_2[[#This Row],[Jar]], JarsPlusPlus_1[Fertilizer], JarsPlusPlus_2[[#This Row],[Fertilizer]]), " "))</f>
        <v>1.37</v>
      </c>
    </row>
    <row r="19" spans="1:22">
      <c r="A19" t="s">
        <v>414</v>
      </c>
      <c r="B19" t="s">
        <v>400</v>
      </c>
      <c r="C19" t="s">
        <v>369</v>
      </c>
      <c r="D19" t="s">
        <v>370</v>
      </c>
      <c r="E19">
        <f>IFERROR(VALUE(JarsPlusPlus_1[[#This Row],[Water Added (mL)]]), 0)</f>
        <v>1750</v>
      </c>
      <c r="F19" t="s">
        <v>236</v>
      </c>
      <c r="G19" t="s">
        <v>416</v>
      </c>
      <c r="H19">
        <f>IFERROR(VALUE(JarsPlusPlus_1[[#This Row],[Fertilizer Added (g)]]), 0)</f>
        <v>1.49</v>
      </c>
      <c r="I19" t="s">
        <v>375</v>
      </c>
      <c r="J19" t="s">
        <v>417</v>
      </c>
      <c r="L19" t="str">
        <v>9</v>
      </c>
      <c r="M19" t="str">
        <v>Distilled</v>
      </c>
      <c r="N19" t="str" cm="1">
        <f t="array" aca="1" ref="N19" ca="1">_xlfn.LET(_xlpm.value, OFFSET(INDIRECT(ADDRESS(ROW(), COLUMN())), 0, -2), IF(_xlpm.value="", "", _xlpm.value))</f>
        <v>9</v>
      </c>
      <c r="O19" t="str" cm="1">
        <f t="array" aca="1" ref="O19" ca="1">_xlfn.LET(_xlpm.value, OFFSET(INDIRECT(ADDRESS(ROW(), COLUMN())), 0, -2), IF(_xlpm.value="", "", _xlpm.value))</f>
        <v>Distilled</v>
      </c>
      <c r="P19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19" t="str">
        <v>9</v>
      </c>
      <c r="S19" t="str">
        <v>12-4-16</v>
      </c>
      <c r="T19" t="str" cm="1">
        <f t="array" aca="1" ref="T19" ca="1">_xlfn.LET(_xlpm.value, OFFSET(INDIRECT(ADDRESS(ROW(),COLUMN())),0,-2), IF(_xlpm.value="","",_xlpm.value))</f>
        <v>9</v>
      </c>
      <c r="U19" t="str" cm="1">
        <f t="array" aca="1" ref="U19" ca="1">_xlfn.LET(_xlpm.value, OFFSET(INDIRECT(ADDRESS(ROW(),COLUMN())),0,-2), IF(_xlpm.value="","",_xlpm.value))</f>
        <v>12-4-16</v>
      </c>
      <c r="V19">
        <f ca="1">IF(JarsPlusPlus_2[[#This Row],[Jar]]="", "", IFERROR(SUMIFS(JarsPlusPlus_1[V:Fertilizer Added (g)], JarsPlusPlus_1[Jar], JarsPlusPlus_2[[#This Row],[Jar]], JarsPlusPlus_1[Fertilizer], JarsPlusPlus_2[[#This Row],[Fertilizer]]), " "))</f>
        <v>1.49</v>
      </c>
    </row>
    <row r="20" spans="1:22">
      <c r="A20" t="s">
        <v>327</v>
      </c>
      <c r="B20" t="s">
        <v>422</v>
      </c>
      <c r="C20" t="s">
        <v>369</v>
      </c>
      <c r="D20" t="s">
        <v>383</v>
      </c>
      <c r="E20">
        <f>IFERROR(VALUE(JarsPlusPlus_1[[#This Row],[Water Added (mL)]]), 0)</f>
        <v>1700</v>
      </c>
      <c r="F20" t="s">
        <v>236</v>
      </c>
      <c r="G20" t="s">
        <v>395</v>
      </c>
      <c r="H20">
        <f>IFERROR(VALUE(JarsPlusPlus_1[[#This Row],[Fertilizer Added (g)]]), 0)</f>
        <v>1.39</v>
      </c>
      <c r="I20" t="s">
        <v>387</v>
      </c>
      <c r="J20" t="s">
        <v>423</v>
      </c>
      <c r="L20" t="str">
        <v>10</v>
      </c>
      <c r="M20" t="str">
        <v>Distilled</v>
      </c>
      <c r="N20" t="str" cm="1">
        <f t="array" aca="1" ref="N20" ca="1">_xlfn.LET(_xlpm.value, OFFSET(INDIRECT(ADDRESS(ROW(), COLUMN())), 0, -2), IF(_xlpm.value="", "", _xlpm.value))</f>
        <v>10</v>
      </c>
      <c r="O20" t="str" cm="1">
        <f t="array" aca="1" ref="O20" ca="1">_xlfn.LET(_xlpm.value, OFFSET(INDIRECT(ADDRESS(ROW(), COLUMN())), 0, -2), IF(_xlpm.value="", "", _xlpm.value))</f>
        <v>Distilled</v>
      </c>
      <c r="P20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0" t="str">
        <v>10</v>
      </c>
      <c r="S20" t="str">
        <v>12-4-16</v>
      </c>
      <c r="T20" t="str" cm="1">
        <f t="array" aca="1" ref="T20" ca="1">_xlfn.LET(_xlpm.value, OFFSET(INDIRECT(ADDRESS(ROW(),COLUMN())),0,-2), IF(_xlpm.value="","",_xlpm.value))</f>
        <v>10</v>
      </c>
      <c r="U20" t="str" cm="1">
        <f t="array" aca="1" ref="U20" ca="1">_xlfn.LET(_xlpm.value, OFFSET(INDIRECT(ADDRESS(ROW(),COLUMN())),0,-2), IF(_xlpm.value="","",_xlpm.value))</f>
        <v>12-4-16</v>
      </c>
      <c r="V20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21" spans="1:22">
      <c r="A21" t="s">
        <v>424</v>
      </c>
      <c r="B21" t="s">
        <v>422</v>
      </c>
      <c r="C21" t="s">
        <v>369</v>
      </c>
      <c r="D21" t="s">
        <v>383</v>
      </c>
      <c r="E21">
        <f>IFERROR(VALUE(JarsPlusPlus_1[[#This Row],[Water Added (mL)]]), 0)</f>
        <v>1700</v>
      </c>
      <c r="F21" t="s">
        <v>236</v>
      </c>
      <c r="G21" t="s">
        <v>395</v>
      </c>
      <c r="H21">
        <f>IFERROR(VALUE(JarsPlusPlus_1[[#This Row],[Fertilizer Added (g)]]), 0)</f>
        <v>1.39</v>
      </c>
      <c r="I21" t="s">
        <v>375</v>
      </c>
      <c r="J21" t="s">
        <v>426</v>
      </c>
      <c r="L21" t="str">
        <v>11</v>
      </c>
      <c r="M21" t="str">
        <v>Distilled</v>
      </c>
      <c r="N21" t="str" cm="1">
        <f t="array" aca="1" ref="N21" ca="1">_xlfn.LET(_xlpm.value, OFFSET(INDIRECT(ADDRESS(ROW(), COLUMN())), 0, -2), IF(_xlpm.value="", "", _xlpm.value))</f>
        <v>11</v>
      </c>
      <c r="O21" t="str" cm="1">
        <f t="array" aca="1" ref="O21" ca="1">_xlfn.LET(_xlpm.value, OFFSET(INDIRECT(ADDRESS(ROW(), COLUMN())), 0, -2), IF(_xlpm.value="", "", _xlpm.value))</f>
        <v>Distilled</v>
      </c>
      <c r="P21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1" t="str">
        <v>11</v>
      </c>
      <c r="S21" t="str">
        <v>12-4-16</v>
      </c>
      <c r="T21" t="str" cm="1">
        <f t="array" aca="1" ref="T21" ca="1">_xlfn.LET(_xlpm.value, OFFSET(INDIRECT(ADDRESS(ROW(),COLUMN())),0,-2), IF(_xlpm.value="","",_xlpm.value))</f>
        <v>11</v>
      </c>
      <c r="U21" t="str" cm="1">
        <f t="array" aca="1" ref="U21" ca="1">_xlfn.LET(_xlpm.value, OFFSET(INDIRECT(ADDRESS(ROW(),COLUMN())),0,-2), IF(_xlpm.value="","",_xlpm.value))</f>
        <v>12-4-16</v>
      </c>
      <c r="V21">
        <f ca="1">IF(JarsPlusPlus_2[[#This Row],[Jar]]="", "", IFERROR(SUMIFS(JarsPlusPlus_1[V:Fertilizer Added (g)], JarsPlusPlus_1[Jar], JarsPlusPlus_2[[#This Row],[Jar]], JarsPlusPlus_1[Fertilizer], JarsPlusPlus_2[[#This Row],[Fertilizer]]), " "))</f>
        <v>1.39</v>
      </c>
    </row>
    <row r="22" spans="1:22">
      <c r="A22" t="s">
        <v>428</v>
      </c>
      <c r="B22" t="s">
        <v>422</v>
      </c>
      <c r="C22" t="s">
        <v>369</v>
      </c>
      <c r="D22" t="s">
        <v>383</v>
      </c>
      <c r="E22">
        <f>IFERROR(VALUE(JarsPlusPlus_1[[#This Row],[Water Added (mL)]]), 0)</f>
        <v>1700</v>
      </c>
      <c r="F22" t="s">
        <v>236</v>
      </c>
      <c r="G22" t="s">
        <v>430</v>
      </c>
      <c r="H22">
        <f>IFERROR(VALUE(JarsPlusPlus_1[[#This Row],[Fertilizer Added (g)]]), 0)</f>
        <v>1.41</v>
      </c>
      <c r="I22" t="s">
        <v>387</v>
      </c>
      <c r="J22" t="s">
        <v>431</v>
      </c>
      <c r="L22" t="str">
        <v>12</v>
      </c>
      <c r="M22" t="str">
        <v>Distilled</v>
      </c>
      <c r="N22" t="str" cm="1">
        <f t="array" aca="1" ref="N22" ca="1">_xlfn.LET(_xlpm.value, OFFSET(INDIRECT(ADDRESS(ROW(), COLUMN())), 0, -2), IF(_xlpm.value="", "", _xlpm.value))</f>
        <v>12</v>
      </c>
      <c r="O22" t="str" cm="1">
        <f t="array" aca="1" ref="O22" ca="1">_xlfn.LET(_xlpm.value, OFFSET(INDIRECT(ADDRESS(ROW(), COLUMN())), 0, -2), IF(_xlpm.value="", "", _xlpm.value))</f>
        <v>Distilled</v>
      </c>
      <c r="P22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2" t="str">
        <v>12</v>
      </c>
      <c r="S22" t="str">
        <v>12-4-16</v>
      </c>
      <c r="T22" t="str" cm="1">
        <f t="array" aca="1" ref="T22" ca="1">_xlfn.LET(_xlpm.value, OFFSET(INDIRECT(ADDRESS(ROW(),COLUMN())),0,-2), IF(_xlpm.value="","",_xlpm.value))</f>
        <v>12</v>
      </c>
      <c r="U22" t="str" cm="1">
        <f t="array" aca="1" ref="U22" ca="1">_xlfn.LET(_xlpm.value, OFFSET(INDIRECT(ADDRESS(ROW(),COLUMN())),0,-2), IF(_xlpm.value="","",_xlpm.value))</f>
        <v>12-4-16</v>
      </c>
      <c r="V22">
        <f ca="1">IF(JarsPlusPlus_2[[#This Row],[Jar]]="", "", IFERROR(SUMIFS(JarsPlusPlus_1[V:Fertilizer Added (g)], JarsPlusPlus_1[Jar], JarsPlusPlus_2[[#This Row],[Jar]], JarsPlusPlus_1[Fertilizer], JarsPlusPlus_2[[#This Row],[Fertilizer]]), " "))</f>
        <v>1.41</v>
      </c>
    </row>
    <row r="23" spans="1:22">
      <c r="A23" t="s">
        <v>432</v>
      </c>
      <c r="B23" t="s">
        <v>422</v>
      </c>
      <c r="C23" t="s">
        <v>369</v>
      </c>
      <c r="D23" t="s">
        <v>383</v>
      </c>
      <c r="E23">
        <f>IFERROR(VALUE(JarsPlusPlus_1[[#This Row],[Water Added (mL)]]), 0)</f>
        <v>1700</v>
      </c>
      <c r="F23" t="s">
        <v>236</v>
      </c>
      <c r="G23" t="s">
        <v>434</v>
      </c>
      <c r="H23">
        <f>IFERROR(VALUE(JarsPlusPlus_1[[#This Row],[Fertilizer Added (g)]]), 0)</f>
        <v>1.8</v>
      </c>
      <c r="I23" t="s">
        <v>387</v>
      </c>
      <c r="J23" t="s">
        <v>435</v>
      </c>
      <c r="L23" t="str">
        <v>13</v>
      </c>
      <c r="M23" t="str">
        <v>Distilled</v>
      </c>
      <c r="N23" t="str" cm="1">
        <f t="array" aca="1" ref="N23" ca="1">_xlfn.LET(_xlpm.value, OFFSET(INDIRECT(ADDRESS(ROW(), COLUMN())), 0, -2), IF(_xlpm.value="", "", _xlpm.value))</f>
        <v>13</v>
      </c>
      <c r="O23" t="str" cm="1">
        <f t="array" aca="1" ref="O23" ca="1">_xlfn.LET(_xlpm.value, OFFSET(INDIRECT(ADDRESS(ROW(), COLUMN())), 0, -2), IF(_xlpm.value="", "", _xlpm.value))</f>
        <v>Distilled</v>
      </c>
      <c r="P23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3" t="str">
        <v>13</v>
      </c>
      <c r="S23" t="str">
        <v>12-4-16</v>
      </c>
      <c r="T23" t="str" cm="1">
        <f t="array" aca="1" ref="T23" ca="1">_xlfn.LET(_xlpm.value, OFFSET(INDIRECT(ADDRESS(ROW(),COLUMN())),0,-2), IF(_xlpm.value="","",_xlpm.value))</f>
        <v>13</v>
      </c>
      <c r="U23" t="str" cm="1">
        <f t="array" aca="1" ref="U23" ca="1">_xlfn.LET(_xlpm.value, OFFSET(INDIRECT(ADDRESS(ROW(),COLUMN())),0,-2), IF(_xlpm.value="","",_xlpm.value))</f>
        <v>12-4-16</v>
      </c>
      <c r="V23">
        <f ca="1">IF(JarsPlusPlus_2[[#This Row],[Jar]]="", "", IFERROR(SUMIFS(JarsPlusPlus_1[V:Fertilizer Added (g)], JarsPlusPlus_1[Jar], JarsPlusPlus_2[[#This Row],[Jar]], JarsPlusPlus_1[Fertilizer], JarsPlusPlus_2[[#This Row],[Fertilizer]]), " "))</f>
        <v>1.8</v>
      </c>
    </row>
    <row r="24" spans="1:22">
      <c r="A24" t="s">
        <v>437</v>
      </c>
      <c r="B24" t="s">
        <v>439</v>
      </c>
      <c r="C24" t="s">
        <v>369</v>
      </c>
      <c r="D24" t="s">
        <v>383</v>
      </c>
      <c r="E24">
        <f>IFERROR(VALUE(JarsPlusPlus_1[[#This Row],[Water Added (mL)]]), 0)</f>
        <v>1700</v>
      </c>
      <c r="F24" t="s">
        <v>236</v>
      </c>
      <c r="G24" t="s">
        <v>401</v>
      </c>
      <c r="H24">
        <f>IFERROR(VALUE(JarsPlusPlus_1[[#This Row],[Fertilizer Added (g)]]), 0)</f>
        <v>1.4</v>
      </c>
      <c r="I24" t="s">
        <v>387</v>
      </c>
      <c r="J24" t="s">
        <v>440</v>
      </c>
      <c r="L24" t="str">
        <v>14</v>
      </c>
      <c r="M24" t="str">
        <v>Distilled</v>
      </c>
      <c r="N24" t="str" cm="1">
        <f t="array" aca="1" ref="N24" ca="1">_xlfn.LET(_xlpm.value, OFFSET(INDIRECT(ADDRESS(ROW(), COLUMN())), 0, -2), IF(_xlpm.value="", "", _xlpm.value))</f>
        <v>14</v>
      </c>
      <c r="O24" t="str" cm="1">
        <f t="array" aca="1" ref="O24" ca="1">_xlfn.LET(_xlpm.value, OFFSET(INDIRECT(ADDRESS(ROW(), COLUMN())), 0, -2), IF(_xlpm.value="", "", _xlpm.value))</f>
        <v>Distilled</v>
      </c>
      <c r="P24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4" t="str">
        <v>14</v>
      </c>
      <c r="S24" t="str">
        <v>12-4-16</v>
      </c>
      <c r="T24" t="str" cm="1">
        <f t="array" aca="1" ref="T24" ca="1">_xlfn.LET(_xlpm.value, OFFSET(INDIRECT(ADDRESS(ROW(),COLUMN())),0,-2), IF(_xlpm.value="","",_xlpm.value))</f>
        <v>14</v>
      </c>
      <c r="U24" t="str" cm="1">
        <f t="array" aca="1" ref="U24" ca="1">_xlfn.LET(_xlpm.value, OFFSET(INDIRECT(ADDRESS(ROW(),COLUMN())),0,-2), IF(_xlpm.value="","",_xlpm.value))</f>
        <v>12-4-16</v>
      </c>
      <c r="V24">
        <f ca="1">IF(JarsPlusPlus_2[[#This Row],[Jar]]="", "", IFERROR(SUMIFS(JarsPlusPlus_1[V:Fertilizer Added (g)], JarsPlusPlus_1[Jar], JarsPlusPlus_2[[#This Row],[Jar]], JarsPlusPlus_1[Fertilizer], JarsPlusPlus_2[[#This Row],[Fertilizer]]), " "))</f>
        <v>1.4</v>
      </c>
    </row>
    <row r="25" spans="1:22">
      <c r="A25" t="s">
        <v>442</v>
      </c>
      <c r="B25" t="s">
        <v>439</v>
      </c>
      <c r="C25" t="s">
        <v>369</v>
      </c>
      <c r="D25" t="s">
        <v>383</v>
      </c>
      <c r="E25">
        <f>IFERROR(VALUE(JarsPlusPlus_1[[#This Row],[Water Added (mL)]]), 0)</f>
        <v>1700</v>
      </c>
      <c r="F25" t="s">
        <v>236</v>
      </c>
      <c r="G25" t="s">
        <v>391</v>
      </c>
      <c r="H25">
        <f>IFERROR(VALUE(JarsPlusPlus_1[[#This Row],[Fertilizer Added (g)]]), 0)</f>
        <v>1.44</v>
      </c>
      <c r="I25" t="s">
        <v>372</v>
      </c>
      <c r="J25" t="s">
        <v>440</v>
      </c>
      <c r="L25" t="str">
        <v>15</v>
      </c>
      <c r="M25" t="str">
        <v>Distilled</v>
      </c>
      <c r="N25" t="str" cm="1">
        <f t="array" aca="1" ref="N25" ca="1">_xlfn.LET(_xlpm.value, OFFSET(INDIRECT(ADDRESS(ROW(), COLUMN())), 0, -2), IF(_xlpm.value="", "", _xlpm.value))</f>
        <v>15</v>
      </c>
      <c r="O25" t="str" cm="1">
        <f t="array" aca="1" ref="O25" ca="1">_xlfn.LET(_xlpm.value, OFFSET(INDIRECT(ADDRESS(ROW(), COLUMN())), 0, -2), IF(_xlpm.value="", "", _xlpm.value))</f>
        <v>Distilled</v>
      </c>
      <c r="P25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5" t="str">
        <v>15</v>
      </c>
      <c r="S25" t="str">
        <v>12-4-16</v>
      </c>
      <c r="T25" t="str" cm="1">
        <f t="array" aca="1" ref="T25" ca="1">_xlfn.LET(_xlpm.value, OFFSET(INDIRECT(ADDRESS(ROW(),COLUMN())),0,-2), IF(_xlpm.value="","",_xlpm.value))</f>
        <v>15</v>
      </c>
      <c r="U25" t="str" cm="1">
        <f t="array" aca="1" ref="U25" ca="1">_xlfn.LET(_xlpm.value, OFFSET(INDIRECT(ADDRESS(ROW(),COLUMN())),0,-2), IF(_xlpm.value="","",_xlpm.value))</f>
        <v>12-4-16</v>
      </c>
      <c r="V25">
        <f ca="1">IF(JarsPlusPlus_2[[#This Row],[Jar]]="", "", IFERROR(SUMIFS(JarsPlusPlus_1[V:Fertilizer Added (g)], JarsPlusPlus_1[Jar], JarsPlusPlus_2[[#This Row],[Jar]], JarsPlusPlus_1[Fertilizer], JarsPlusPlus_2[[#This Row],[Fertilizer]]), " "))</f>
        <v>1.44</v>
      </c>
    </row>
    <row r="26" spans="1:22">
      <c r="A26" t="s">
        <v>446</v>
      </c>
      <c r="B26" t="s">
        <v>439</v>
      </c>
      <c r="C26" t="s">
        <v>369</v>
      </c>
      <c r="D26" t="s">
        <v>383</v>
      </c>
      <c r="E26">
        <f>IFERROR(VALUE(JarsPlusPlus_1[[#This Row],[Water Added (mL)]]), 0)</f>
        <v>1700</v>
      </c>
      <c r="F26" t="s">
        <v>236</v>
      </c>
      <c r="G26" t="s">
        <v>448</v>
      </c>
      <c r="H26">
        <f>IFERROR(VALUE(JarsPlusPlus_1[[#This Row],[Fertilizer Added (g)]]), 0)</f>
        <v>1.55</v>
      </c>
      <c r="I26" t="s">
        <v>387</v>
      </c>
      <c r="J26" t="s">
        <v>440</v>
      </c>
      <c r="L26" t="str">
        <v>16</v>
      </c>
      <c r="M26" t="str">
        <v>Distilled</v>
      </c>
      <c r="N26" t="str" cm="1">
        <f t="array" aca="1" ref="N26" ca="1">_xlfn.LET(_xlpm.value, OFFSET(INDIRECT(ADDRESS(ROW(), COLUMN())), 0, -2), IF(_xlpm.value="", "", _xlpm.value))</f>
        <v>16</v>
      </c>
      <c r="O26" t="str" cm="1">
        <f t="array" aca="1" ref="O26" ca="1">_xlfn.LET(_xlpm.value, OFFSET(INDIRECT(ADDRESS(ROW(), COLUMN())), 0, -2), IF(_xlpm.value="", "", _xlpm.value))</f>
        <v>Distilled</v>
      </c>
      <c r="P26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6" t="str">
        <v>16</v>
      </c>
      <c r="S26" t="str">
        <v>12-4-16</v>
      </c>
      <c r="T26" t="str" cm="1">
        <f t="array" aca="1" ref="T26" ca="1">_xlfn.LET(_xlpm.value, OFFSET(INDIRECT(ADDRESS(ROW(),COLUMN())),0,-2), IF(_xlpm.value="","",_xlpm.value))</f>
        <v>16</v>
      </c>
      <c r="U26" t="str" cm="1">
        <f t="array" aca="1" ref="U26" ca="1">_xlfn.LET(_xlpm.value, OFFSET(INDIRECT(ADDRESS(ROW(),COLUMN())),0,-2), IF(_xlpm.value="","",_xlpm.value))</f>
        <v>12-4-16</v>
      </c>
      <c r="V26">
        <f ca="1">IF(JarsPlusPlus_2[[#This Row],[Jar]]="", "", IFERROR(SUMIFS(JarsPlusPlus_1[V:Fertilizer Added (g)], JarsPlusPlus_1[Jar], JarsPlusPlus_2[[#This Row],[Jar]], JarsPlusPlus_1[Fertilizer], JarsPlusPlus_2[[#This Row],[Fertilizer]]), " "))</f>
        <v>1.55</v>
      </c>
    </row>
    <row r="27" spans="1:22">
      <c r="A27" t="s">
        <v>450</v>
      </c>
      <c r="B27" t="s">
        <v>439</v>
      </c>
      <c r="C27" t="s">
        <v>369</v>
      </c>
      <c r="D27" t="s">
        <v>383</v>
      </c>
      <c r="E27">
        <f>IFERROR(VALUE(JarsPlusPlus_1[[#This Row],[Water Added (mL)]]), 0)</f>
        <v>1700</v>
      </c>
      <c r="F27" t="s">
        <v>236</v>
      </c>
      <c r="G27" t="s">
        <v>452</v>
      </c>
      <c r="H27">
        <f>IFERROR(VALUE(JarsPlusPlus_1[[#This Row],[Fertilizer Added (g)]]), 0)</f>
        <v>1.57</v>
      </c>
      <c r="I27" t="s">
        <v>453</v>
      </c>
      <c r="J27" t="s">
        <v>440</v>
      </c>
      <c r="L27" t="str">
        <v>17</v>
      </c>
      <c r="M27" t="str">
        <v>Distilled</v>
      </c>
      <c r="N27" t="str" cm="1">
        <f t="array" aca="1" ref="N27" ca="1">_xlfn.LET(_xlpm.value, OFFSET(INDIRECT(ADDRESS(ROW(), COLUMN())), 0, -2), IF(_xlpm.value="", "", _xlpm.value))</f>
        <v>17</v>
      </c>
      <c r="O27" t="str" cm="1">
        <f t="array" aca="1" ref="O27" ca="1">_xlfn.LET(_xlpm.value, OFFSET(INDIRECT(ADDRESS(ROW(), COLUMN())), 0, -2), IF(_xlpm.value="", "", _xlpm.value))</f>
        <v>Distilled</v>
      </c>
      <c r="P2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7" t="str">
        <v>17</v>
      </c>
      <c r="S27" t="str">
        <v>12-4-16</v>
      </c>
      <c r="T27" t="str" cm="1">
        <f t="array" aca="1" ref="T27" ca="1">_xlfn.LET(_xlpm.value, OFFSET(INDIRECT(ADDRESS(ROW(),COLUMN())),0,-2), IF(_xlpm.value="","",_xlpm.value))</f>
        <v>17</v>
      </c>
      <c r="U27" t="str" cm="1">
        <f t="array" aca="1" ref="U27" ca="1">_xlfn.LET(_xlpm.value, OFFSET(INDIRECT(ADDRESS(ROW(),COLUMN())),0,-2), IF(_xlpm.value="","",_xlpm.value))</f>
        <v>12-4-16</v>
      </c>
      <c r="V27">
        <f ca="1">IF(JarsPlusPlus_2[[#This Row],[Jar]]="", "", IFERROR(SUMIFS(JarsPlusPlus_1[V:Fertilizer Added (g)], JarsPlusPlus_1[Jar], JarsPlusPlus_2[[#This Row],[Jar]], JarsPlusPlus_1[Fertilizer], JarsPlusPlus_2[[#This Row],[Fertilizer]]), " "))</f>
        <v>1.57</v>
      </c>
    </row>
    <row r="28" spans="1:22">
      <c r="A28" t="s">
        <v>456</v>
      </c>
      <c r="B28" t="s">
        <v>459</v>
      </c>
      <c r="C28" t="s">
        <v>460</v>
      </c>
      <c r="D28" t="s">
        <v>383</v>
      </c>
      <c r="E28">
        <f>IFERROR(VALUE(JarsPlusPlus_1[[#This Row],[Water Added (mL)]]), 0)</f>
        <v>1700</v>
      </c>
      <c r="F28" t="s">
        <v>236</v>
      </c>
      <c r="G28" t="s">
        <v>461</v>
      </c>
      <c r="H28">
        <f>IFERROR(VALUE(JarsPlusPlus_1[[#This Row],[Fertilizer Added (g)]]), 0)</f>
        <v>1.77</v>
      </c>
      <c r="I28" t="s">
        <v>453</v>
      </c>
      <c r="J28" t="s">
        <v>462</v>
      </c>
      <c r="L28" t="str">
        <v>18</v>
      </c>
      <c r="M28" t="str">
        <v>Milli-Q</v>
      </c>
      <c r="N28" t="str" cm="1">
        <f t="array" aca="1" ref="N28" ca="1">_xlfn.LET(_xlpm.value, OFFSET(INDIRECT(ADDRESS(ROW(), COLUMN())), 0, -2), IF(_xlpm.value="", "", _xlpm.value))</f>
        <v>18</v>
      </c>
      <c r="O28" t="str" cm="1">
        <f t="array" aca="1" ref="O28" ca="1">_xlfn.LET(_xlpm.value, OFFSET(INDIRECT(ADDRESS(ROW(), COLUMN())), 0, -2), IF(_xlpm.value="", "", _xlpm.value))</f>
        <v>Milli-Q</v>
      </c>
      <c r="P28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28" t="str">
        <v>18</v>
      </c>
      <c r="S28" t="str">
        <v>12-4-16</v>
      </c>
      <c r="T28" t="str" cm="1">
        <f t="array" aca="1" ref="T28" ca="1">_xlfn.LET(_xlpm.value, OFFSET(INDIRECT(ADDRESS(ROW(),COLUMN())),0,-2), IF(_xlpm.value="","",_xlpm.value))</f>
        <v>18</v>
      </c>
      <c r="U28" t="str" cm="1">
        <f t="array" aca="1" ref="U28" ca="1">_xlfn.LET(_xlpm.value, OFFSET(INDIRECT(ADDRESS(ROW(),COLUMN())),0,-2), IF(_xlpm.value="","",_xlpm.value))</f>
        <v>12-4-16</v>
      </c>
      <c r="V28">
        <f ca="1">IF(JarsPlusPlus_2[[#This Row],[Jar]]="", "", IFERROR(SUMIFS(JarsPlusPlus_1[V:Fertilizer Added (g)], JarsPlusPlus_1[Jar], JarsPlusPlus_2[[#This Row],[Jar]], JarsPlusPlus_1[Fertilizer], JarsPlusPlus_2[[#This Row],[Fertilizer]]), " "))</f>
        <v>1.77</v>
      </c>
    </row>
    <row r="29" spans="1:22">
      <c r="A29" t="s">
        <v>463</v>
      </c>
      <c r="B29" t="s">
        <v>459</v>
      </c>
      <c r="C29" t="s">
        <v>460</v>
      </c>
      <c r="D29" t="s">
        <v>465</v>
      </c>
      <c r="E29">
        <f>IFERROR(VALUE(JarsPlusPlus_1[[#This Row],[Water Added (mL)]]), 0)</f>
        <v>1650</v>
      </c>
      <c r="F29" t="s">
        <v>236</v>
      </c>
      <c r="G29" t="s">
        <v>466</v>
      </c>
      <c r="H29">
        <f>IFERROR(VALUE(JarsPlusPlus_1[[#This Row],[Fertilizer Added (g)]]), 0)</f>
        <v>1.72</v>
      </c>
      <c r="I29" t="s">
        <v>453</v>
      </c>
      <c r="J29" t="s">
        <v>467</v>
      </c>
      <c r="L29" t="str">
        <v>19</v>
      </c>
      <c r="M29" t="str">
        <v>Milli-Q</v>
      </c>
      <c r="N29" t="str" cm="1">
        <f t="array" aca="1" ref="N29" ca="1">_xlfn.LET(_xlpm.value, OFFSET(INDIRECT(ADDRESS(ROW(), COLUMN())), 0, -2), IF(_xlpm.value="", "", _xlpm.value))</f>
        <v>19</v>
      </c>
      <c r="O29" t="str" cm="1">
        <f t="array" aca="1" ref="O29" ca="1">_xlfn.LET(_xlpm.value, OFFSET(INDIRECT(ADDRESS(ROW(), COLUMN())), 0, -2), IF(_xlpm.value="", "", _xlpm.value))</f>
        <v>Milli-Q</v>
      </c>
      <c r="P29">
        <f ca="1">IF(JarsPlusPlus_4[[#This Row],[Jar]]="", "", IFERROR(SUMIFS(JarsPlusPlus_1[V:Water Added (mL)], JarsPlusPlus_1[Jar], JarsPlusPlus_4[[#This Row],[Jar]], JarsPlusPlus_1[Water Type], JarsPlusPlus_4[[#This Row],[Water Type]]), " "))</f>
        <v>1650</v>
      </c>
      <c r="R29" t="str">
        <v>18</v>
      </c>
      <c r="S29" t="str">
        <v>Epsom Salt</v>
      </c>
      <c r="T29" t="str" cm="1">
        <f t="array" aca="1" ref="T29" ca="1">_xlfn.LET(_xlpm.value, OFFSET(INDIRECT(ADDRESS(ROW(),COLUMN())),0,-2), IF(_xlpm.value="","",_xlpm.value))</f>
        <v>18</v>
      </c>
      <c r="U29" t="str" cm="1">
        <f t="array" aca="1" ref="U29" ca="1">_xlfn.LET(_xlpm.value, OFFSET(INDIRECT(ADDRESS(ROW(),COLUMN())),0,-2), IF(_xlpm.value="","",_xlpm.value))</f>
        <v>Epsom Salt</v>
      </c>
      <c r="V29">
        <f ca="1">IF(JarsPlusPlus_2[[#This Row],[Jar]]="", "", IFERROR(SUMIFS(JarsPlusPlus_1[V:Fertilizer Added (g)], JarsPlusPlus_1[Jar], JarsPlusPlus_2[[#This Row],[Jar]], JarsPlusPlus_1[Fertilizer], JarsPlusPlus_2[[#This Row],[Fertilizer]]), " "))</f>
        <v>0.53</v>
      </c>
    </row>
    <row r="30" spans="1:22">
      <c r="A30" t="s">
        <v>468</v>
      </c>
      <c r="B30" t="s">
        <v>459</v>
      </c>
      <c r="C30" t="s">
        <v>460</v>
      </c>
      <c r="D30" t="s">
        <v>469</v>
      </c>
      <c r="E30">
        <f>IFERROR(VALUE(JarsPlusPlus_1[[#This Row],[Water Added (mL)]]), 0)</f>
        <v>1600</v>
      </c>
      <c r="F30" t="s">
        <v>236</v>
      </c>
      <c r="G30" t="s">
        <v>470</v>
      </c>
      <c r="H30">
        <f>IFERROR(VALUE(JarsPlusPlus_1[[#This Row],[Fertilizer Added (g)]]), 0)</f>
        <v>1.67</v>
      </c>
      <c r="I30" t="s">
        <v>453</v>
      </c>
      <c r="J30" t="s">
        <v>471</v>
      </c>
      <c r="L30" t="str">
        <v>20</v>
      </c>
      <c r="M30" t="str">
        <v>Milli-Q</v>
      </c>
      <c r="N30" t="str" cm="1">
        <f t="array" aca="1" ref="N30" ca="1">_xlfn.LET(_xlpm.value, OFFSET(INDIRECT(ADDRESS(ROW(), COLUMN())), 0, -2), IF(_xlpm.value="", "", _xlpm.value))</f>
        <v>20</v>
      </c>
      <c r="O30" t="str" cm="1">
        <f t="array" aca="1" ref="O30" ca="1">_xlfn.LET(_xlpm.value, OFFSET(INDIRECT(ADDRESS(ROW(), COLUMN())), 0, -2), IF(_xlpm.value="", "", _xlpm.value))</f>
        <v>Milli-Q</v>
      </c>
      <c r="P30">
        <f ca="1">IF(JarsPlusPlus_4[[#This Row],[Jar]]="", "", IFERROR(SUMIFS(JarsPlusPlus_1[V:Water Added (mL)], JarsPlusPlus_1[Jar], JarsPlusPlus_4[[#This Row],[Jar]], JarsPlusPlus_1[Water Type], JarsPlusPlus_4[[#This Row],[Water Type]]), " "))</f>
        <v>1600</v>
      </c>
      <c r="R30" t="str">
        <v>19</v>
      </c>
      <c r="S30" t="str">
        <v>12-4-16</v>
      </c>
      <c r="T30" t="str" cm="1">
        <f t="array" aca="1" ref="T30" ca="1">_xlfn.LET(_xlpm.value, OFFSET(INDIRECT(ADDRESS(ROW(),COLUMN())),0,-2), IF(_xlpm.value="","",_xlpm.value))</f>
        <v>19</v>
      </c>
      <c r="U30" t="str" cm="1">
        <f t="array" aca="1" ref="U30" ca="1">_xlfn.LET(_xlpm.value, OFFSET(INDIRECT(ADDRESS(ROW(),COLUMN())),0,-2), IF(_xlpm.value="","",_xlpm.value))</f>
        <v>12-4-16</v>
      </c>
      <c r="V30">
        <f ca="1">IF(JarsPlusPlus_2[[#This Row],[Jar]]="", "", IFERROR(SUMIFS(JarsPlusPlus_1[V:Fertilizer Added (g)], JarsPlusPlus_1[Jar], JarsPlusPlus_2[[#This Row],[Jar]], JarsPlusPlus_1[Fertilizer], JarsPlusPlus_2[[#This Row],[Fertilizer]]), " "))</f>
        <v>2.77</v>
      </c>
    </row>
    <row r="31" spans="1:22">
      <c r="A31" t="s">
        <v>472</v>
      </c>
      <c r="B31" t="s">
        <v>459</v>
      </c>
      <c r="C31" t="s">
        <v>460</v>
      </c>
      <c r="D31" t="s">
        <v>473</v>
      </c>
      <c r="E31">
        <f>IFERROR(VALUE(JarsPlusPlus_1[[#This Row],[Water Added (mL)]]), 0)</f>
        <v>1550</v>
      </c>
      <c r="F31" t="s">
        <v>236</v>
      </c>
      <c r="G31" t="s">
        <v>474</v>
      </c>
      <c r="H31">
        <f>IFERROR(VALUE(JarsPlusPlus_1[[#This Row],[Fertilizer Added (g)]]), 0)</f>
        <v>1.64</v>
      </c>
      <c r="I31" t="s">
        <v>453</v>
      </c>
      <c r="J31" t="s">
        <v>475</v>
      </c>
      <c r="L31" t="str">
        <v>21</v>
      </c>
      <c r="M31" t="str">
        <v>Milli-Q</v>
      </c>
      <c r="N31" t="str" cm="1">
        <f t="array" aca="1" ref="N31" ca="1">_xlfn.LET(_xlpm.value, OFFSET(INDIRECT(ADDRESS(ROW(), COLUMN())), 0, -2), IF(_xlpm.value="", "", _xlpm.value))</f>
        <v>21</v>
      </c>
      <c r="O31" t="str" cm="1">
        <f t="array" aca="1" ref="O31" ca="1">_xlfn.LET(_xlpm.value, OFFSET(INDIRECT(ADDRESS(ROW(), COLUMN())), 0, -2), IF(_xlpm.value="", "", _xlpm.value))</f>
        <v>Milli-Q</v>
      </c>
      <c r="P31">
        <f ca="1">IF(JarsPlusPlus_4[[#This Row],[Jar]]="", "", IFERROR(SUMIFS(JarsPlusPlus_1[V:Water Added (mL)], JarsPlusPlus_1[Jar], JarsPlusPlus_4[[#This Row],[Jar]], JarsPlusPlus_1[Water Type], JarsPlusPlus_4[[#This Row],[Water Type]]), " "))</f>
        <v>1550</v>
      </c>
      <c r="R31" t="str">
        <v>19</v>
      </c>
      <c r="S31" t="str">
        <v>Epsom Salt</v>
      </c>
      <c r="T31" t="str" cm="1">
        <f t="array" aca="1" ref="T31" ca="1">_xlfn.LET(_xlpm.value, OFFSET(INDIRECT(ADDRESS(ROW(),COLUMN())),0,-2), IF(_xlpm.value="","",_xlpm.value))</f>
        <v>19</v>
      </c>
      <c r="U31" t="str" cm="1">
        <f t="array" aca="1" ref="U31" ca="1">_xlfn.LET(_xlpm.value, OFFSET(INDIRECT(ADDRESS(ROW(),COLUMN())),0,-2), IF(_xlpm.value="","",_xlpm.value))</f>
        <v>Epsom Salt</v>
      </c>
      <c r="V31">
        <f ca="1">IF(JarsPlusPlus_2[[#This Row],[Jar]]="", "", IFERROR(SUMIFS(JarsPlusPlus_1[V:Fertilizer Added (g)], JarsPlusPlus_1[Jar], JarsPlusPlus_2[[#This Row],[Jar]], JarsPlusPlus_1[Fertilizer], JarsPlusPlus_2[[#This Row],[Fertilizer]]), " "))</f>
        <v>0.69</v>
      </c>
    </row>
    <row r="32" spans="1:22">
      <c r="A32" t="s">
        <v>476</v>
      </c>
      <c r="B32" t="s">
        <v>477</v>
      </c>
      <c r="C32" t="s">
        <v>460</v>
      </c>
      <c r="D32" t="s">
        <v>370</v>
      </c>
      <c r="E32">
        <f>IFERROR(VALUE(JarsPlusPlus_1[[#This Row],[Water Added (mL)]]), 0)</f>
        <v>1750</v>
      </c>
      <c r="F32" t="s">
        <v>236</v>
      </c>
      <c r="G32" t="s">
        <v>478</v>
      </c>
      <c r="H32">
        <f>IFERROR(VALUE(JarsPlusPlus_1[[#This Row],[Fertilizer Added (g)]]), 0)</f>
        <v>1.83</v>
      </c>
      <c r="I32" t="s">
        <v>387</v>
      </c>
      <c r="J32" t="s">
        <v>479</v>
      </c>
      <c r="L32" t="str">
        <v>22</v>
      </c>
      <c r="M32" t="str">
        <v>Milli-Q</v>
      </c>
      <c r="N32" t="str" cm="1">
        <f t="array" aca="1" ref="N32" ca="1">_xlfn.LET(_xlpm.value, OFFSET(INDIRECT(ADDRESS(ROW(), COLUMN())), 0, -2), IF(_xlpm.value="", "", _xlpm.value))</f>
        <v>22</v>
      </c>
      <c r="O32" t="str" cm="1">
        <f t="array" aca="1" ref="O32" ca="1">_xlfn.LET(_xlpm.value, OFFSET(INDIRECT(ADDRESS(ROW(), COLUMN())), 0, -2), IF(_xlpm.value="", "", _xlpm.value))</f>
        <v>Milli-Q</v>
      </c>
      <c r="P32">
        <f ca="1">IF(JarsPlusPlus_4[[#This Row],[Jar]]="", "", IFERROR(SUMIFS(JarsPlusPlus_1[V:Water Added (mL)], JarsPlusPlus_1[Jar], JarsPlusPlus_4[[#This Row],[Jar]], JarsPlusPlus_1[Water Type], JarsPlusPlus_4[[#This Row],[Water Type]]), " "))</f>
        <v>1750</v>
      </c>
      <c r="R32" t="str">
        <v>20</v>
      </c>
      <c r="S32" t="str">
        <v>12-4-16</v>
      </c>
      <c r="T32" t="str" cm="1">
        <f t="array" aca="1" ref="T32" ca="1">_xlfn.LET(_xlpm.value, OFFSET(INDIRECT(ADDRESS(ROW(),COLUMN())),0,-2), IF(_xlpm.value="","",_xlpm.value))</f>
        <v>20</v>
      </c>
      <c r="U32" t="str" cm="1">
        <f t="array" aca="1" ref="U32" ca="1">_xlfn.LET(_xlpm.value, OFFSET(INDIRECT(ADDRESS(ROW(),COLUMN())),0,-2), IF(_xlpm.value="","",_xlpm.value))</f>
        <v>12-4-16</v>
      </c>
      <c r="V32">
        <f ca="1">IF(JarsPlusPlus_2[[#This Row],[Jar]]="", "", IFERROR(SUMIFS(JarsPlusPlus_1[V:Fertilizer Added (g)], JarsPlusPlus_1[Jar], JarsPlusPlus_2[[#This Row],[Jar]], JarsPlusPlus_1[Fertilizer], JarsPlusPlus_2[[#This Row],[Fertilizer]]), " "))</f>
        <v>1.67</v>
      </c>
    </row>
    <row r="33" spans="1:22">
      <c r="A33" t="s">
        <v>480</v>
      </c>
      <c r="B33" t="s">
        <v>477</v>
      </c>
      <c r="C33" t="s">
        <v>460</v>
      </c>
      <c r="D33" t="s">
        <v>482</v>
      </c>
      <c r="E33">
        <f>IFERROR(VALUE(JarsPlusPlus_1[[#This Row],[Water Added (mL)]]), 0)</f>
        <v>275</v>
      </c>
      <c r="F33" t="s">
        <v>236</v>
      </c>
      <c r="G33" t="s">
        <v>483</v>
      </c>
      <c r="H33">
        <f>IFERROR(VALUE(JarsPlusPlus_1[[#This Row],[Fertilizer Added (g)]]), 0)</f>
        <v>0.23</v>
      </c>
      <c r="I33" t="s">
        <v>14</v>
      </c>
      <c r="J33" t="s">
        <v>14</v>
      </c>
      <c r="L33" t="str">
        <v>23</v>
      </c>
      <c r="M33" t="str">
        <v>Milli-Q</v>
      </c>
      <c r="N33" t="str" cm="1">
        <f t="array" aca="1" ref="N33" ca="1">_xlfn.LET(_xlpm.value, OFFSET(INDIRECT(ADDRESS(ROW(), COLUMN())), 0, -2), IF(_xlpm.value="", "", _xlpm.value))</f>
        <v>23</v>
      </c>
      <c r="O33" t="str" cm="1">
        <f t="array" aca="1" ref="O33" ca="1">_xlfn.LET(_xlpm.value, OFFSET(INDIRECT(ADDRESS(ROW(), COLUMN())), 0, -2), IF(_xlpm.value="", "", _xlpm.value))</f>
        <v>Milli-Q</v>
      </c>
      <c r="P33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33" t="str">
        <v>20</v>
      </c>
      <c r="S33" t="str">
        <v>Epsom Salt</v>
      </c>
      <c r="T33" t="str" cm="1">
        <f t="array" aca="1" ref="T33" ca="1">_xlfn.LET(_xlpm.value, OFFSET(INDIRECT(ADDRESS(ROW(),COLUMN())),0,-2), IF(_xlpm.value="","",_xlpm.value))</f>
        <v>20</v>
      </c>
      <c r="U33" t="str" cm="1">
        <f t="array" aca="1" ref="U33" ca="1">_xlfn.LET(_xlpm.value, OFFSET(INDIRECT(ADDRESS(ROW(),COLUMN())),0,-2), IF(_xlpm.value="","",_xlpm.value))</f>
        <v>Epsom Salt</v>
      </c>
      <c r="V33">
        <f ca="1">IF(JarsPlusPlus_2[[#This Row],[Jar]]="", "", IFERROR(SUMIFS(JarsPlusPlus_1[V:Fertilizer Added (g)], JarsPlusPlus_1[Jar], JarsPlusPlus_2[[#This Row],[Jar]], JarsPlusPlus_1[Fertilizer], JarsPlusPlus_2[[#This Row],[Fertilizer]]), " "))</f>
        <v>0.71</v>
      </c>
    </row>
    <row r="34" spans="1:22">
      <c r="A34" t="s">
        <v>484</v>
      </c>
      <c r="B34" t="s">
        <v>485</v>
      </c>
      <c r="C34" t="s">
        <v>460</v>
      </c>
      <c r="D34" t="s">
        <v>486</v>
      </c>
      <c r="E34">
        <f>IFERROR(VALUE(JarsPlusPlus_1[[#This Row],[Water Added (mL)]]), 0)</f>
        <v>1775</v>
      </c>
      <c r="F34" t="s">
        <v>374</v>
      </c>
      <c r="G34" t="s">
        <v>179</v>
      </c>
      <c r="H34">
        <f>IFERROR(VALUE(JarsPlusPlus_1[[#This Row],[Fertilizer Added (g)]]), 0)</f>
        <v>0</v>
      </c>
      <c r="I34" t="s">
        <v>14</v>
      </c>
      <c r="J34" t="s">
        <v>14</v>
      </c>
      <c r="L34" t="str">
        <v>24</v>
      </c>
      <c r="M34" t="str">
        <v>Milli-Q</v>
      </c>
      <c r="N34" t="str" cm="1">
        <f t="array" aca="1" ref="N34" ca="1">_xlfn.LET(_xlpm.value, OFFSET(INDIRECT(ADDRESS(ROW(), COLUMN())), 0, -2), IF(_xlpm.value="", "", _xlpm.value))</f>
        <v>24</v>
      </c>
      <c r="O34" t="str" cm="1">
        <f t="array" aca="1" ref="O34" ca="1">_xlfn.LET(_xlpm.value, OFFSET(INDIRECT(ADDRESS(ROW(), COLUMN())), 0, -2), IF(_xlpm.value="", "", _xlpm.value))</f>
        <v>Milli-Q</v>
      </c>
      <c r="P34">
        <f ca="1">IF(JarsPlusPlus_4[[#This Row],[Jar]]="", "", IFERROR(SUMIFS(JarsPlusPlus_1[V:Water Added (mL)], JarsPlusPlus_1[Jar], JarsPlusPlus_4[[#This Row],[Jar]], JarsPlusPlus_1[Water Type], JarsPlusPlus_4[[#This Row],[Water Type]]), " "))</f>
        <v>1775</v>
      </c>
      <c r="R34" t="str">
        <v>21</v>
      </c>
      <c r="S34" t="str">
        <v>12-4-16</v>
      </c>
      <c r="T34" t="str" cm="1">
        <f t="array" aca="1" ref="T34" ca="1">_xlfn.LET(_xlpm.value, OFFSET(INDIRECT(ADDRESS(ROW(),COLUMN())),0,-2), IF(_xlpm.value="","",_xlpm.value))</f>
        <v>21</v>
      </c>
      <c r="U34" t="str" cm="1">
        <f t="array" aca="1" ref="U34" ca="1">_xlfn.LET(_xlpm.value, OFFSET(INDIRECT(ADDRESS(ROW(),COLUMN())),0,-2), IF(_xlpm.value="","",_xlpm.value))</f>
        <v>12-4-16</v>
      </c>
      <c r="V34">
        <f ca="1">IF(JarsPlusPlus_2[[#This Row],[Jar]]="", "", IFERROR(SUMIFS(JarsPlusPlus_1[V:Fertilizer Added (g)], JarsPlusPlus_1[Jar], JarsPlusPlus_2[[#This Row],[Jar]], JarsPlusPlus_1[Fertilizer], JarsPlusPlus_2[[#This Row],[Fertilizer]]), " "))</f>
        <v>3.16</v>
      </c>
    </row>
    <row r="35" spans="1:22">
      <c r="A35" t="s">
        <v>487</v>
      </c>
      <c r="B35" t="s">
        <v>488</v>
      </c>
      <c r="C35" t="s">
        <v>460</v>
      </c>
      <c r="D35" t="s">
        <v>195</v>
      </c>
      <c r="E35">
        <f>IFERROR(VALUE(JarsPlusPlus_1[[#This Row],[Water Added (mL)]]), 0)</f>
        <v>250</v>
      </c>
      <c r="F35" t="s">
        <v>236</v>
      </c>
      <c r="G35" t="s">
        <v>489</v>
      </c>
      <c r="H35">
        <f>IFERROR(VALUE(JarsPlusPlus_1[[#This Row],[Fertilizer Added (g)]]), 0)</f>
        <v>0.17</v>
      </c>
      <c r="I35" t="s">
        <v>418</v>
      </c>
      <c r="J35" t="s">
        <v>14</v>
      </c>
      <c r="L35" t="str">
        <v>25</v>
      </c>
      <c r="M35" t="str">
        <v>Milli-Q</v>
      </c>
      <c r="N35" t="str" cm="1">
        <f t="array" aca="1" ref="N35" ca="1">_xlfn.LET(_xlpm.value, OFFSET(INDIRECT(ADDRESS(ROW(), COLUMN())), 0, -2), IF(_xlpm.value="", "", _xlpm.value))</f>
        <v>25</v>
      </c>
      <c r="O35" t="str" cm="1">
        <f t="array" aca="1" ref="O35" ca="1">_xlfn.LET(_xlpm.value, OFFSET(INDIRECT(ADDRESS(ROW(), COLUMN())), 0, -2), IF(_xlpm.value="", "", _xlpm.value))</f>
        <v>Milli-Q</v>
      </c>
      <c r="P35">
        <f ca="1">IF(JarsPlusPlus_4[[#This Row],[Jar]]="", "", IFERROR(SUMIFS(JarsPlusPlus_1[V:Water Added (mL)], JarsPlusPlus_1[Jar], JarsPlusPlus_4[[#This Row],[Jar]], JarsPlusPlus_1[Water Type], JarsPlusPlus_4[[#This Row],[Water Type]]), " "))</f>
        <v>250</v>
      </c>
      <c r="R35" t="str">
        <v>21</v>
      </c>
      <c r="S35" t="str">
        <v>Epsom Salt</v>
      </c>
      <c r="T35" t="str" cm="1">
        <f t="array" aca="1" ref="T35" ca="1">_xlfn.LET(_xlpm.value, OFFSET(INDIRECT(ADDRESS(ROW(),COLUMN())),0,-2), IF(_xlpm.value="","",_xlpm.value))</f>
        <v>21</v>
      </c>
      <c r="U35" t="str" cm="1">
        <f t="array" aca="1" ref="U35" ca="1">_xlfn.LET(_xlpm.value, OFFSET(INDIRECT(ADDRESS(ROW(),COLUMN())),0,-2), IF(_xlpm.value="","",_xlpm.value))</f>
        <v>Epsom Salt</v>
      </c>
      <c r="V35">
        <f ca="1">IF(JarsPlusPlus_2[[#This Row],[Jar]]="", "", IFERROR(SUMIFS(JarsPlusPlus_1[V:Fertilizer Added (g)], JarsPlusPlus_1[Jar], JarsPlusPlus_2[[#This Row],[Jar]], JarsPlusPlus_1[Fertilizer], JarsPlusPlus_2[[#This Row],[Fertilizer]]), " "))</f>
        <v>0.67999999999999994</v>
      </c>
    </row>
    <row r="36" spans="1:22">
      <c r="A36" t="s">
        <v>491</v>
      </c>
      <c r="B36" t="s">
        <v>488</v>
      </c>
      <c r="C36" t="s">
        <v>460</v>
      </c>
      <c r="D36" t="s">
        <v>492</v>
      </c>
      <c r="E36">
        <f>IFERROR(VALUE(JarsPlusPlus_1[[#This Row],[Water Added (mL)]]), 0)</f>
        <v>1800</v>
      </c>
      <c r="F36" t="s">
        <v>236</v>
      </c>
      <c r="G36" t="s">
        <v>493</v>
      </c>
      <c r="H36">
        <f>IFERROR(VALUE(JarsPlusPlus_1[[#This Row],[Fertilizer Added (g)]]), 0)</f>
        <v>1.87</v>
      </c>
      <c r="I36" t="s">
        <v>375</v>
      </c>
      <c r="J36" t="s">
        <v>494</v>
      </c>
      <c r="L36" t="str">
        <v>26</v>
      </c>
      <c r="M36" t="str">
        <v>Milli-Q</v>
      </c>
      <c r="N36" t="str" cm="1">
        <f t="array" aca="1" ref="N36" ca="1">_xlfn.LET(_xlpm.value, OFFSET(INDIRECT(ADDRESS(ROW(), COLUMN())), 0, -2), IF(_xlpm.value="", "", _xlpm.value))</f>
        <v>26</v>
      </c>
      <c r="O36" t="str" cm="1">
        <f t="array" aca="1" ref="O36" ca="1">_xlfn.LET(_xlpm.value, OFFSET(INDIRECT(ADDRESS(ROW(), COLUMN())), 0, -2), IF(_xlpm.value="", "", _xlpm.value))</f>
        <v>Milli-Q</v>
      </c>
      <c r="P36">
        <f ca="1">IF(JarsPlusPlus_4[[#This Row],[Jar]]="", "", IFERROR(SUMIFS(JarsPlusPlus_1[V:Water Added (mL)], JarsPlusPlus_1[Jar], JarsPlusPlus_4[[#This Row],[Jar]], JarsPlusPlus_1[Water Type], JarsPlusPlus_4[[#This Row],[Water Type]]), " "))</f>
        <v>1800</v>
      </c>
      <c r="R36" t="str">
        <v>22</v>
      </c>
      <c r="S36" t="str">
        <v>12-4-16</v>
      </c>
      <c r="T36" t="str" cm="1">
        <f t="array" aca="1" ref="T36" ca="1">_xlfn.LET(_xlpm.value, OFFSET(INDIRECT(ADDRESS(ROW(),COLUMN())),0,-2), IF(_xlpm.value="","",_xlpm.value))</f>
        <v>22</v>
      </c>
      <c r="U36" t="str" cm="1">
        <f t="array" aca="1" ref="U36" ca="1">_xlfn.LET(_xlpm.value, OFFSET(INDIRECT(ADDRESS(ROW(),COLUMN())),0,-2), IF(_xlpm.value="","",_xlpm.value))</f>
        <v>12-4-16</v>
      </c>
      <c r="V36">
        <f ca="1">IF(JarsPlusPlus_2[[#This Row],[Jar]]="", "", IFERROR(SUMIFS(JarsPlusPlus_1[V:Fertilizer Added (g)], JarsPlusPlus_1[Jar], JarsPlusPlus_2[[#This Row],[Jar]], JarsPlusPlus_1[Fertilizer], JarsPlusPlus_2[[#This Row],[Fertilizer]]), " "))</f>
        <v>1.83</v>
      </c>
    </row>
    <row r="37" spans="1:22">
      <c r="A37" t="s">
        <v>495</v>
      </c>
      <c r="B37" t="s">
        <v>488</v>
      </c>
      <c r="C37" t="s">
        <v>460</v>
      </c>
      <c r="D37" t="s">
        <v>383</v>
      </c>
      <c r="E37">
        <f>IFERROR(VALUE(JarsPlusPlus_1[[#This Row],[Water Added (mL)]]), 0)</f>
        <v>1700</v>
      </c>
      <c r="F37" t="s">
        <v>236</v>
      </c>
      <c r="G37" t="s">
        <v>478</v>
      </c>
      <c r="H37">
        <f>IFERROR(VALUE(JarsPlusPlus_1[[#This Row],[Fertilizer Added (g)]]), 0)</f>
        <v>1.83</v>
      </c>
      <c r="I37" t="s">
        <v>387</v>
      </c>
      <c r="J37" t="s">
        <v>496</v>
      </c>
      <c r="L37" t="str">
        <v>27</v>
      </c>
      <c r="M37" t="str">
        <v>Milli-Q</v>
      </c>
      <c r="N37" t="str" cm="1">
        <f t="array" aca="1" ref="N37" ca="1">_xlfn.LET(_xlpm.value, OFFSET(INDIRECT(ADDRESS(ROW(), COLUMN())), 0, -2), IF(_xlpm.value="", "", _xlpm.value))</f>
        <v>27</v>
      </c>
      <c r="O37" t="str" cm="1">
        <f t="array" aca="1" ref="O37" ca="1">_xlfn.LET(_xlpm.value, OFFSET(INDIRECT(ADDRESS(ROW(), COLUMN())), 0, -2), IF(_xlpm.value="", "", _xlpm.value))</f>
        <v>Milli-Q</v>
      </c>
      <c r="P3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37" t="str">
        <v>22</v>
      </c>
      <c r="S37" t="str">
        <v>Epsom Salt</v>
      </c>
      <c r="T37" t="str" cm="1">
        <f t="array" aca="1" ref="T37" ca="1">_xlfn.LET(_xlpm.value, OFFSET(INDIRECT(ADDRESS(ROW(),COLUMN())),0,-2), IF(_xlpm.value="","",_xlpm.value))</f>
        <v>22</v>
      </c>
      <c r="U37" t="str" cm="1">
        <f t="array" aca="1" ref="U37" ca="1">_xlfn.LET(_xlpm.value, OFFSET(INDIRECT(ADDRESS(ROW(),COLUMN())),0,-2), IF(_xlpm.value="","",_xlpm.value))</f>
        <v>Epsom Salt</v>
      </c>
      <c r="V37">
        <f ca="1">IF(JarsPlusPlus_2[[#This Row],[Jar]]="", "", IFERROR(SUMIFS(JarsPlusPlus_1[V:Fertilizer Added (g)], JarsPlusPlus_1[Jar], JarsPlusPlus_2[[#This Row],[Jar]], JarsPlusPlus_1[Fertilizer], JarsPlusPlus_2[[#This Row],[Fertilizer]]), " "))</f>
        <v>0.7</v>
      </c>
    </row>
    <row r="38" spans="1:22">
      <c r="A38" t="s">
        <v>498</v>
      </c>
      <c r="B38" t="s">
        <v>488</v>
      </c>
      <c r="C38" t="s">
        <v>460</v>
      </c>
      <c r="D38" t="s">
        <v>465</v>
      </c>
      <c r="E38">
        <f>IFERROR(VALUE(JarsPlusPlus_1[[#This Row],[Water Added (mL)]]), 0)</f>
        <v>1650</v>
      </c>
      <c r="F38" t="s">
        <v>236</v>
      </c>
      <c r="G38" t="s">
        <v>500</v>
      </c>
      <c r="H38">
        <f>IFERROR(VALUE(JarsPlusPlus_1[[#This Row],[Fertilizer Added (g)]]), 0)</f>
        <v>1.71</v>
      </c>
      <c r="I38" t="s">
        <v>372</v>
      </c>
      <c r="J38" t="s">
        <v>501</v>
      </c>
      <c r="L38" t="str">
        <v>28</v>
      </c>
      <c r="M38" t="str">
        <v>Milli-Q</v>
      </c>
      <c r="N38" t="str" cm="1">
        <f t="array" aca="1" ref="N38" ca="1">_xlfn.LET(_xlpm.value, OFFSET(INDIRECT(ADDRESS(ROW(), COLUMN())), 0, -2), IF(_xlpm.value="", "", _xlpm.value))</f>
        <v>28</v>
      </c>
      <c r="O38" t="str" cm="1">
        <f t="array" aca="1" ref="O38" ca="1">_xlfn.LET(_xlpm.value, OFFSET(INDIRECT(ADDRESS(ROW(), COLUMN())), 0, -2), IF(_xlpm.value="", "", _xlpm.value))</f>
        <v>Milli-Q</v>
      </c>
      <c r="P38">
        <f ca="1">IF(JarsPlusPlus_4[[#This Row],[Jar]]="", "", IFERROR(SUMIFS(JarsPlusPlus_1[V:Water Added (mL)], JarsPlusPlus_1[Jar], JarsPlusPlus_4[[#This Row],[Jar]], JarsPlusPlus_1[Water Type], JarsPlusPlus_4[[#This Row],[Water Type]]), " "))</f>
        <v>1650</v>
      </c>
      <c r="R38" t="str">
        <v>23</v>
      </c>
      <c r="S38" t="str">
        <v>12-4-16</v>
      </c>
      <c r="T38" t="str" cm="1">
        <f t="array" aca="1" ref="T38" ca="1">_xlfn.LET(_xlpm.value, OFFSET(INDIRECT(ADDRESS(ROW(),COLUMN())),0,-2), IF(_xlpm.value="","",_xlpm.value))</f>
        <v>23</v>
      </c>
      <c r="U38" t="str" cm="1">
        <f t="array" aca="1" ref="U38" ca="1">_xlfn.LET(_xlpm.value, OFFSET(INDIRECT(ADDRESS(ROW(),COLUMN())),0,-2), IF(_xlpm.value="","",_xlpm.value))</f>
        <v>12-4-16</v>
      </c>
      <c r="V38">
        <f ca="1">IF(JarsPlusPlus_2[[#This Row],[Jar]]="", "", IFERROR(SUMIFS(JarsPlusPlus_1[V:Fertilizer Added (g)], JarsPlusPlus_1[Jar], JarsPlusPlus_2[[#This Row],[Jar]], JarsPlusPlus_1[Fertilizer], JarsPlusPlus_2[[#This Row],[Fertilizer]]), " "))</f>
        <v>0.23</v>
      </c>
    </row>
    <row r="39" spans="1:22">
      <c r="A39" t="s">
        <v>503</v>
      </c>
      <c r="B39" t="s">
        <v>488</v>
      </c>
      <c r="C39" t="s">
        <v>460</v>
      </c>
      <c r="D39" t="s">
        <v>469</v>
      </c>
      <c r="E39">
        <f>IFERROR(VALUE(JarsPlusPlus_1[[#This Row],[Water Added (mL)]]), 0)</f>
        <v>1600</v>
      </c>
      <c r="F39" t="s">
        <v>236</v>
      </c>
      <c r="G39" t="s">
        <v>505</v>
      </c>
      <c r="H39">
        <f>IFERROR(VALUE(JarsPlusPlus_1[[#This Row],[Fertilizer Added (g)]]), 0)</f>
        <v>1.66</v>
      </c>
      <c r="I39" t="s">
        <v>387</v>
      </c>
      <c r="J39" t="s">
        <v>506</v>
      </c>
      <c r="L39" t="str">
        <v>29</v>
      </c>
      <c r="M39" t="str">
        <v>Milli-Q</v>
      </c>
      <c r="N39" t="str" cm="1">
        <f t="array" aca="1" ref="N39" ca="1">_xlfn.LET(_xlpm.value, OFFSET(INDIRECT(ADDRESS(ROW(), COLUMN())), 0, -2), IF(_xlpm.value="", "", _xlpm.value))</f>
        <v>29</v>
      </c>
      <c r="O39" t="str" cm="1">
        <f t="array" aca="1" ref="O39" ca="1">_xlfn.LET(_xlpm.value, OFFSET(INDIRECT(ADDRESS(ROW(), COLUMN())), 0, -2), IF(_xlpm.value="", "", _xlpm.value))</f>
        <v>Milli-Q</v>
      </c>
      <c r="P39">
        <f ca="1">IF(JarsPlusPlus_4[[#This Row],[Jar]]="", "", IFERROR(SUMIFS(JarsPlusPlus_1[V:Water Added (mL)], JarsPlusPlus_1[Jar], JarsPlusPlus_4[[#This Row],[Jar]], JarsPlusPlus_1[Water Type], JarsPlusPlus_4[[#This Row],[Water Type]]), " "))</f>
        <v>1600</v>
      </c>
      <c r="R39" t="str">
        <v>25</v>
      </c>
      <c r="S39" t="str">
        <v>12-4-16</v>
      </c>
      <c r="T39" t="str" cm="1">
        <f t="array" aca="1" ref="T39" ca="1">_xlfn.LET(_xlpm.value, OFFSET(INDIRECT(ADDRESS(ROW(),COLUMN())),0,-2), IF(_xlpm.value="","",_xlpm.value))</f>
        <v>25</v>
      </c>
      <c r="U39" t="str" cm="1">
        <f t="array" aca="1" ref="U39" ca="1">_xlfn.LET(_xlpm.value, OFFSET(INDIRECT(ADDRESS(ROW(),COLUMN())),0,-2), IF(_xlpm.value="","",_xlpm.value))</f>
        <v>12-4-16</v>
      </c>
      <c r="V39">
        <f ca="1">IF(JarsPlusPlus_2[[#This Row],[Jar]]="", "", IFERROR(SUMIFS(JarsPlusPlus_1[V:Fertilizer Added (g)], JarsPlusPlus_1[Jar], JarsPlusPlus_2[[#This Row],[Jar]], JarsPlusPlus_1[Fertilizer], JarsPlusPlus_2[[#This Row],[Fertilizer]]), " "))</f>
        <v>0.17</v>
      </c>
    </row>
    <row r="40" spans="1:22">
      <c r="A40" t="s">
        <v>507</v>
      </c>
      <c r="B40" t="s">
        <v>488</v>
      </c>
      <c r="C40" t="s">
        <v>460</v>
      </c>
      <c r="D40" t="s">
        <v>473</v>
      </c>
      <c r="E40">
        <f>IFERROR(VALUE(JarsPlusPlus_1[[#This Row],[Water Added (mL)]]), 0)</f>
        <v>1550</v>
      </c>
      <c r="F40" t="s">
        <v>236</v>
      </c>
      <c r="G40" t="s">
        <v>508</v>
      </c>
      <c r="H40">
        <f>IFERROR(VALUE(JarsPlusPlus_1[[#This Row],[Fertilizer Added (g)]]), 0)</f>
        <v>1.61</v>
      </c>
      <c r="I40" t="s">
        <v>387</v>
      </c>
      <c r="J40" t="s">
        <v>509</v>
      </c>
      <c r="L40" t="str">
        <v>30</v>
      </c>
      <c r="M40" t="str">
        <v>Milli-Q</v>
      </c>
      <c r="N40" t="str" cm="1">
        <f t="array" aca="1" ref="N40" ca="1">_xlfn.LET(_xlpm.value, OFFSET(INDIRECT(ADDRESS(ROW(), COLUMN())), 0, -2), IF(_xlpm.value="", "", _xlpm.value))</f>
        <v>30</v>
      </c>
      <c r="O40" t="str" cm="1">
        <f t="array" aca="1" ref="O40" ca="1">_xlfn.LET(_xlpm.value, OFFSET(INDIRECT(ADDRESS(ROW(), COLUMN())), 0, -2), IF(_xlpm.value="", "", _xlpm.value))</f>
        <v>Milli-Q</v>
      </c>
      <c r="P40">
        <f ca="1">IF(JarsPlusPlus_4[[#This Row],[Jar]]="", "", IFERROR(SUMIFS(JarsPlusPlus_1[V:Water Added (mL)], JarsPlusPlus_1[Jar], JarsPlusPlus_4[[#This Row],[Jar]], JarsPlusPlus_1[Water Type], JarsPlusPlus_4[[#This Row],[Water Type]]), " "))</f>
        <v>1550</v>
      </c>
      <c r="R40" t="str">
        <v>26</v>
      </c>
      <c r="S40" t="str">
        <v>12-4-16</v>
      </c>
      <c r="T40" t="str" cm="1">
        <f t="array" aca="1" ref="T40" ca="1">_xlfn.LET(_xlpm.value, OFFSET(INDIRECT(ADDRESS(ROW(),COLUMN())),0,-2), IF(_xlpm.value="","",_xlpm.value))</f>
        <v>26</v>
      </c>
      <c r="U40" t="str" cm="1">
        <f t="array" aca="1" ref="U40" ca="1">_xlfn.LET(_xlpm.value, OFFSET(INDIRECT(ADDRESS(ROW(),COLUMN())),0,-2), IF(_xlpm.value="","",_xlpm.value))</f>
        <v>12-4-16</v>
      </c>
      <c r="V40">
        <f ca="1">IF(JarsPlusPlus_2[[#This Row],[Jar]]="", "", IFERROR(SUMIFS(JarsPlusPlus_1[V:Fertilizer Added (g)], JarsPlusPlus_1[Jar], JarsPlusPlus_2[[#This Row],[Jar]], JarsPlusPlus_1[Fertilizer], JarsPlusPlus_2[[#This Row],[Fertilizer]]), " "))</f>
        <v>1.87</v>
      </c>
    </row>
    <row r="41" spans="1:22">
      <c r="A41" t="s">
        <v>510</v>
      </c>
      <c r="B41" t="s">
        <v>488</v>
      </c>
      <c r="C41" t="s">
        <v>460</v>
      </c>
      <c r="D41" t="s">
        <v>511</v>
      </c>
      <c r="E41">
        <f>IFERROR(VALUE(JarsPlusPlus_1[[#This Row],[Water Added (mL)]]), 0)</f>
        <v>1500</v>
      </c>
      <c r="F41" t="s">
        <v>236</v>
      </c>
      <c r="G41" t="s">
        <v>512</v>
      </c>
      <c r="H41">
        <f>IFERROR(VALUE(JarsPlusPlus_1[[#This Row],[Fertilizer Added (g)]]), 0)</f>
        <v>1.54</v>
      </c>
      <c r="I41" t="s">
        <v>387</v>
      </c>
      <c r="J41" t="s">
        <v>513</v>
      </c>
      <c r="L41" t="str">
        <v>31</v>
      </c>
      <c r="M41" t="str">
        <v>Milli-Q</v>
      </c>
      <c r="N41" t="str" cm="1">
        <f t="array" aca="1" ref="N41" ca="1">_xlfn.LET(_xlpm.value, OFFSET(INDIRECT(ADDRESS(ROW(), COLUMN())), 0, -2), IF(_xlpm.value="", "", _xlpm.value))</f>
        <v>31</v>
      </c>
      <c r="O41" t="str" cm="1">
        <f t="array" aca="1" ref="O41" ca="1">_xlfn.LET(_xlpm.value, OFFSET(INDIRECT(ADDRESS(ROW(), COLUMN())), 0, -2), IF(_xlpm.value="", "", _xlpm.value))</f>
        <v>Milli-Q</v>
      </c>
      <c r="P41">
        <f ca="1">IF(JarsPlusPlus_4[[#This Row],[Jar]]="", "", IFERROR(SUMIFS(JarsPlusPlus_1[V:Water Added (mL)], JarsPlusPlus_1[Jar], JarsPlusPlus_4[[#This Row],[Jar]], JarsPlusPlus_1[Water Type], JarsPlusPlus_4[[#This Row],[Water Type]]), " "))</f>
        <v>1500</v>
      </c>
      <c r="R41" t="str">
        <v>26</v>
      </c>
      <c r="S41" t="str">
        <v>Epsom Salt</v>
      </c>
      <c r="T41" t="str" cm="1">
        <f t="array" aca="1" ref="T41" ca="1">_xlfn.LET(_xlpm.value, OFFSET(INDIRECT(ADDRESS(ROW(),COLUMN())),0,-2), IF(_xlpm.value="","",_xlpm.value))</f>
        <v>26</v>
      </c>
      <c r="U41" t="str" cm="1">
        <f t="array" aca="1" ref="U41" ca="1">_xlfn.LET(_xlpm.value, OFFSET(INDIRECT(ADDRESS(ROW(),COLUMN())),0,-2), IF(_xlpm.value="","",_xlpm.value))</f>
        <v>Epsom Salt</v>
      </c>
      <c r="V41">
        <f ca="1">IF(JarsPlusPlus_2[[#This Row],[Jar]]="", "", IFERROR(SUMIFS(JarsPlusPlus_1[V:Fertilizer Added (g)], JarsPlusPlus_1[Jar], JarsPlusPlus_2[[#This Row],[Jar]], JarsPlusPlus_1[Fertilizer], JarsPlusPlus_2[[#This Row],[Fertilizer]]), " "))</f>
        <v>0.64</v>
      </c>
    </row>
    <row r="42" spans="1:22">
      <c r="A42" t="s">
        <v>514</v>
      </c>
      <c r="B42" t="s">
        <v>515</v>
      </c>
      <c r="C42" t="s">
        <v>460</v>
      </c>
      <c r="D42" t="s">
        <v>482</v>
      </c>
      <c r="E42">
        <f>IFERROR(VALUE(JarsPlusPlus_1[[#This Row],[Water Added (mL)]]), 0)</f>
        <v>275</v>
      </c>
      <c r="F42" t="s">
        <v>374</v>
      </c>
      <c r="G42" t="s">
        <v>179</v>
      </c>
      <c r="H42">
        <f>IFERROR(VALUE(JarsPlusPlus_1[[#This Row],[Fertilizer Added (g)]]), 0)</f>
        <v>0</v>
      </c>
      <c r="I42" t="s">
        <v>14</v>
      </c>
      <c r="J42" t="s">
        <v>14</v>
      </c>
      <c r="L42" t="str">
        <v>32</v>
      </c>
      <c r="M42" t="str">
        <v>Milli-Q</v>
      </c>
      <c r="N42" t="str" cm="1">
        <f t="array" aca="1" ref="N42" ca="1">_xlfn.LET(_xlpm.value, OFFSET(INDIRECT(ADDRESS(ROW(), COLUMN())), 0, -2), IF(_xlpm.value="", "", _xlpm.value))</f>
        <v>32</v>
      </c>
      <c r="O42" t="str" cm="1">
        <f t="array" aca="1" ref="O42" ca="1">_xlfn.LET(_xlpm.value, OFFSET(INDIRECT(ADDRESS(ROW(), COLUMN())), 0, -2), IF(_xlpm.value="", "", _xlpm.value))</f>
        <v>Milli-Q</v>
      </c>
      <c r="P42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42" t="str">
        <v>27</v>
      </c>
      <c r="S42" t="str">
        <v>12-4-16</v>
      </c>
      <c r="T42" t="str" cm="1">
        <f t="array" aca="1" ref="T42" ca="1">_xlfn.LET(_xlpm.value, OFFSET(INDIRECT(ADDRESS(ROW(),COLUMN())),0,-2), IF(_xlpm.value="","",_xlpm.value))</f>
        <v>27</v>
      </c>
      <c r="U42" t="str" cm="1">
        <f t="array" aca="1" ref="U42" ca="1">_xlfn.LET(_xlpm.value, OFFSET(INDIRECT(ADDRESS(ROW(),COLUMN())),0,-2), IF(_xlpm.value="","",_xlpm.value))</f>
        <v>12-4-16</v>
      </c>
      <c r="V42">
        <f ca="1">IF(JarsPlusPlus_2[[#This Row],[Jar]]="", "", IFERROR(SUMIFS(JarsPlusPlus_1[V:Fertilizer Added (g)], JarsPlusPlus_1[Jar], JarsPlusPlus_2[[#This Row],[Jar]], JarsPlusPlus_1[Fertilizer], JarsPlusPlus_2[[#This Row],[Fertilizer]]), " "))</f>
        <v>3.63</v>
      </c>
    </row>
    <row r="43" spans="1:22">
      <c r="A43" t="s">
        <v>516</v>
      </c>
      <c r="B43" t="s">
        <v>517</v>
      </c>
      <c r="C43" t="s">
        <v>460</v>
      </c>
      <c r="D43" t="s">
        <v>518</v>
      </c>
      <c r="E43">
        <f>IFERROR(VALUE(JarsPlusPlus_1[[#This Row],[Water Added (mL)]]), 0)</f>
        <v>175</v>
      </c>
      <c r="F43" t="s">
        <v>374</v>
      </c>
      <c r="G43" t="s">
        <v>179</v>
      </c>
      <c r="H43">
        <f>IFERROR(VALUE(JarsPlusPlus_1[[#This Row],[Fertilizer Added (g)]]), 0)</f>
        <v>0</v>
      </c>
      <c r="I43" t="s">
        <v>14</v>
      </c>
      <c r="J43" t="s">
        <v>14</v>
      </c>
      <c r="L43" t="str">
        <v>33.1</v>
      </c>
      <c r="M43" t="str">
        <v>Milli-Q</v>
      </c>
      <c r="N43" t="str" cm="1">
        <f t="array" aca="1" ref="N43" ca="1">_xlfn.LET(_xlpm.value, OFFSET(INDIRECT(ADDRESS(ROW(), COLUMN())), 0, -2), IF(_xlpm.value="", "", _xlpm.value))</f>
        <v>33.1</v>
      </c>
      <c r="O43" t="str" cm="1">
        <f t="array" aca="1" ref="O43" ca="1">_xlfn.LET(_xlpm.value, OFFSET(INDIRECT(ADDRESS(ROW(), COLUMN())), 0, -2), IF(_xlpm.value="", "", _xlpm.value))</f>
        <v>Milli-Q</v>
      </c>
      <c r="P43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3" t="str">
        <v>27</v>
      </c>
      <c r="S43" t="str">
        <v>Epsom Salt</v>
      </c>
      <c r="T43" t="str" cm="1">
        <f t="array" aca="1" ref="T43" ca="1">_xlfn.LET(_xlpm.value, OFFSET(INDIRECT(ADDRESS(ROW(),COLUMN())),0,-2), IF(_xlpm.value="","",_xlpm.value))</f>
        <v>27</v>
      </c>
      <c r="U43" t="str" cm="1">
        <f t="array" aca="1" ref="U43" ca="1">_xlfn.LET(_xlpm.value, OFFSET(INDIRECT(ADDRESS(ROW(),COLUMN())),0,-2), IF(_xlpm.value="","",_xlpm.value))</f>
        <v>Epsom Salt</v>
      </c>
      <c r="V43">
        <f ca="1">IF(JarsPlusPlus_2[[#This Row],[Jar]]="", "", IFERROR(SUMIFS(JarsPlusPlus_1[V:Fertilizer Added (g)], JarsPlusPlus_1[Jar], JarsPlusPlus_2[[#This Row],[Jar]], JarsPlusPlus_1[Fertilizer], JarsPlusPlus_2[[#This Row],[Fertilizer]]), " "))</f>
        <v>0.69</v>
      </c>
    </row>
    <row r="44" spans="1:22">
      <c r="A44" t="s">
        <v>521</v>
      </c>
      <c r="B44" t="s">
        <v>517</v>
      </c>
      <c r="C44" t="s">
        <v>460</v>
      </c>
      <c r="D44" t="s">
        <v>518</v>
      </c>
      <c r="E44">
        <f>IFERROR(VALUE(JarsPlusPlus_1[[#This Row],[Water Added (mL)]]), 0)</f>
        <v>175</v>
      </c>
      <c r="F44" t="s">
        <v>374</v>
      </c>
      <c r="G44" t="s">
        <v>179</v>
      </c>
      <c r="H44">
        <f>IFERROR(VALUE(JarsPlusPlus_1[[#This Row],[Fertilizer Added (g)]]), 0)</f>
        <v>0</v>
      </c>
      <c r="I44" t="s">
        <v>14</v>
      </c>
      <c r="J44" t="s">
        <v>14</v>
      </c>
      <c r="L44" t="str">
        <v>33.2</v>
      </c>
      <c r="M44" t="str">
        <v>Milli-Q</v>
      </c>
      <c r="N44" t="str" cm="1">
        <f t="array" aca="1" ref="N44" ca="1">_xlfn.LET(_xlpm.value, OFFSET(INDIRECT(ADDRESS(ROW(), COLUMN())), 0, -2), IF(_xlpm.value="", "", _xlpm.value))</f>
        <v>33.2</v>
      </c>
      <c r="O44" t="str" cm="1">
        <f t="array" aca="1" ref="O44" ca="1">_xlfn.LET(_xlpm.value, OFFSET(INDIRECT(ADDRESS(ROW(), COLUMN())), 0, -2), IF(_xlpm.value="", "", _xlpm.value))</f>
        <v>Milli-Q</v>
      </c>
      <c r="P44">
        <f ca="1">IF(JarsPlusPlus_4[[#This Row],[Jar]]="", "", IFERROR(SUMIFS(JarsPlusPlus_1[V:Water Added (mL)], JarsPlusPlus_1[Jar], JarsPlusPlus_4[[#This Row],[Jar]], JarsPlusPlus_1[Water Type], JarsPlusPlus_4[[#This Row],[Water Type]]), " "))</f>
        <v>200</v>
      </c>
      <c r="R44" t="str">
        <v>28</v>
      </c>
      <c r="S44" t="str">
        <v>12-4-16</v>
      </c>
      <c r="T44" t="str" cm="1">
        <f t="array" aca="1" ref="T44" ca="1">_xlfn.LET(_xlpm.value, OFFSET(INDIRECT(ADDRESS(ROW(),COLUMN())),0,-2), IF(_xlpm.value="","",_xlpm.value))</f>
        <v>28</v>
      </c>
      <c r="U44" t="str" cm="1">
        <f t="array" aca="1" ref="U44" ca="1">_xlfn.LET(_xlpm.value, OFFSET(INDIRECT(ADDRESS(ROW(),COLUMN())),0,-2), IF(_xlpm.value="","",_xlpm.value))</f>
        <v>12-4-16</v>
      </c>
      <c r="V44">
        <f ca="1">IF(JarsPlusPlus_2[[#This Row],[Jar]]="", "", IFERROR(SUMIFS(JarsPlusPlus_1[V:Fertilizer Added (g)], JarsPlusPlus_1[Jar], JarsPlusPlus_2[[#This Row],[Jar]], JarsPlusPlus_1[Fertilizer], JarsPlusPlus_2[[#This Row],[Fertilizer]]), " "))</f>
        <v>2.4039999999999999</v>
      </c>
    </row>
    <row r="45" spans="1:22">
      <c r="A45" s="10" t="s">
        <v>522</v>
      </c>
      <c r="B45" t="s">
        <v>517</v>
      </c>
      <c r="C45" t="s">
        <v>460</v>
      </c>
      <c r="D45" t="s">
        <v>518</v>
      </c>
      <c r="E45">
        <f>IFERROR(VALUE(JarsPlusPlus_1[[#This Row],[Water Added (mL)]]), 0)</f>
        <v>175</v>
      </c>
      <c r="F45" t="s">
        <v>374</v>
      </c>
      <c r="G45" t="s">
        <v>179</v>
      </c>
      <c r="H45">
        <f>IFERROR(VALUE(JarsPlusPlus_1[[#This Row],[Fertilizer Added (g)]]), 0)</f>
        <v>0</v>
      </c>
      <c r="I45" t="s">
        <v>14</v>
      </c>
      <c r="J45" t="s">
        <v>14</v>
      </c>
      <c r="L45" t="str">
        <v>34.1</v>
      </c>
      <c r="M45" t="str">
        <v>Milli-Q</v>
      </c>
      <c r="N45" t="str" cm="1">
        <f t="array" aca="1" ref="N45" ca="1">_xlfn.LET(_xlpm.value, OFFSET(INDIRECT(ADDRESS(ROW(), COLUMN())), 0, -2), IF(_xlpm.value="", "", _xlpm.value))</f>
        <v>34.1</v>
      </c>
      <c r="O45" t="str" cm="1">
        <f t="array" aca="1" ref="O45" ca="1">_xlfn.LET(_xlpm.value, OFFSET(INDIRECT(ADDRESS(ROW(), COLUMN())), 0, -2), IF(_xlpm.value="", "", _xlpm.value))</f>
        <v>Milli-Q</v>
      </c>
      <c r="P45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5" t="str">
        <v>28</v>
      </c>
      <c r="S45" t="str">
        <v>Epsom Salt</v>
      </c>
      <c r="T45" t="str" cm="1">
        <f t="array" aca="1" ref="T45" ca="1">_xlfn.LET(_xlpm.value, OFFSET(INDIRECT(ADDRESS(ROW(),COLUMN())),0,-2), IF(_xlpm.value="","",_xlpm.value))</f>
        <v>28</v>
      </c>
      <c r="U45" t="str" cm="1">
        <f t="array" aca="1" ref="U45" ca="1">_xlfn.LET(_xlpm.value, OFFSET(INDIRECT(ADDRESS(ROW(),COLUMN())),0,-2), IF(_xlpm.value="","",_xlpm.value))</f>
        <v>Epsom Salt</v>
      </c>
      <c r="V45">
        <f ca="1">IF(JarsPlusPlus_2[[#This Row],[Jar]]="", "", IFERROR(SUMIFS(JarsPlusPlus_1[V:Fertilizer Added (g)], JarsPlusPlus_1[Jar], JarsPlusPlus_2[[#This Row],[Jar]], JarsPlusPlus_1[Fertilizer], JarsPlusPlus_2[[#This Row],[Fertilizer]]), " "))</f>
        <v>0.28000000000000003</v>
      </c>
    </row>
    <row r="46" spans="1:22">
      <c r="A46" t="s">
        <v>523</v>
      </c>
      <c r="B46" t="s">
        <v>524</v>
      </c>
      <c r="C46" t="s">
        <v>460</v>
      </c>
      <c r="D46" t="s">
        <v>525</v>
      </c>
      <c r="E46">
        <f>IFERROR(VALUE(JarsPlusPlus_1[[#This Row],[Water Added (mL)]]), 0)</f>
        <v>200</v>
      </c>
      <c r="F46" t="s">
        <v>374</v>
      </c>
      <c r="G46" t="s">
        <v>179</v>
      </c>
      <c r="H46">
        <f>IFERROR(VALUE(JarsPlusPlus_1[[#This Row],[Fertilizer Added (g)]]), 0)</f>
        <v>0</v>
      </c>
      <c r="I46" t="s">
        <v>14</v>
      </c>
      <c r="J46" t="s">
        <v>14</v>
      </c>
      <c r="L46" t="str">
        <v>34.2</v>
      </c>
      <c r="M46" t="str">
        <v>Milli-Q</v>
      </c>
      <c r="N46" s="17" t="str" cm="1">
        <f t="array" aca="1" ref="N46" ca="1">_xlfn.LET(_xlpm.value, OFFSET(INDIRECT(ADDRESS(ROW(), COLUMN())), 0, -2), IF(_xlpm.value="", "", _xlpm.value))</f>
        <v>34.2</v>
      </c>
      <c r="O46" s="17" t="str" cm="1">
        <f t="array" aca="1" ref="O46" ca="1">_xlfn.LET(_xlpm.value, OFFSET(INDIRECT(ADDRESS(ROW(), COLUMN())), 0, -2), IF(_xlpm.value="", "", _xlpm.value))</f>
        <v>Milli-Q</v>
      </c>
      <c r="P46" s="17">
        <f ca="1">IF(JarsPlusPlus_4[[#This Row],[Jar]]="", "", IFERROR(SUMIFS(JarsPlusPlus_1[V:Water Added (mL)], JarsPlusPlus_1[Jar], JarsPlusPlus_4[[#This Row],[Jar]], JarsPlusPlus_1[Water Type], JarsPlusPlus_4[[#This Row],[Water Type]]), " "))</f>
        <v>195</v>
      </c>
      <c r="R46" t="str">
        <v>29</v>
      </c>
      <c r="S46" t="str">
        <v>12-4-16</v>
      </c>
      <c r="T46" t="str" cm="1">
        <f t="array" aca="1" ref="T46" ca="1">_xlfn.LET(_xlpm.value, OFFSET(INDIRECT(ADDRESS(ROW(),COLUMN())),0,-2), IF(_xlpm.value="","",_xlpm.value))</f>
        <v>29</v>
      </c>
      <c r="U46" t="str" cm="1">
        <f t="array" aca="1" ref="U46" ca="1">_xlfn.LET(_xlpm.value, OFFSET(INDIRECT(ADDRESS(ROW(),COLUMN())),0,-2), IF(_xlpm.value="","",_xlpm.value))</f>
        <v>12-4-16</v>
      </c>
      <c r="V46">
        <f ca="1">IF(JarsPlusPlus_2[[#This Row],[Jar]]="", "", IFERROR(SUMIFS(JarsPlusPlus_1[V:Fertilizer Added (g)], JarsPlusPlus_1[Jar], JarsPlusPlus_2[[#This Row],[Jar]], JarsPlusPlus_1[Fertilizer], JarsPlusPlus_2[[#This Row],[Fertilizer]]), " "))</f>
        <v>2.552</v>
      </c>
    </row>
    <row r="47" spans="1:22">
      <c r="A47" t="s">
        <v>526</v>
      </c>
      <c r="B47" t="s">
        <v>524</v>
      </c>
      <c r="C47" t="s">
        <v>460</v>
      </c>
      <c r="D47" t="s">
        <v>527</v>
      </c>
      <c r="E47">
        <f>IFERROR(VALUE(JarsPlusPlus_1[[#This Row],[Water Added (mL)]]), 0)</f>
        <v>195</v>
      </c>
      <c r="F47" t="s">
        <v>374</v>
      </c>
      <c r="G47" t="s">
        <v>179</v>
      </c>
      <c r="H47">
        <f>IFERROR(VALUE(JarsPlusPlus_1[[#This Row],[Fertilizer Added (g)]]), 0)</f>
        <v>0</v>
      </c>
      <c r="I47" t="s">
        <v>14</v>
      </c>
      <c r="J47" t="s">
        <v>14</v>
      </c>
      <c r="L47" t="str">
        <v>35.1</v>
      </c>
      <c r="M47" t="str">
        <v>Milli-Q</v>
      </c>
      <c r="N47" s="17" t="str" cm="1">
        <f t="array" aca="1" ref="N47" ca="1">_xlfn.LET(_xlpm.value, OFFSET(INDIRECT(ADDRESS(ROW(), COLUMN())), 0, -2), IF(_xlpm.value="", "", _xlpm.value))</f>
        <v>35.1</v>
      </c>
      <c r="O47" s="17" t="str" cm="1">
        <f t="array" aca="1" ref="O47" ca="1">_xlfn.LET(_xlpm.value, OFFSET(INDIRECT(ADDRESS(ROW(), COLUMN())), 0, -2), IF(_xlpm.value="", "", _xlpm.value))</f>
        <v>Milli-Q</v>
      </c>
      <c r="P47" s="17">
        <f ca="1">IF(JarsPlusPlus_4[[#This Row],[Jar]]="", "", IFERROR(SUMIFS(JarsPlusPlus_1[V:Water Added (mL)], JarsPlusPlus_1[Jar], JarsPlusPlus_4[[#This Row],[Jar]], JarsPlusPlus_1[Water Type], JarsPlusPlus_4[[#This Row],[Water Type]]), " "))</f>
        <v>175</v>
      </c>
      <c r="R47" t="str">
        <v>29</v>
      </c>
      <c r="S47" t="str">
        <v>Epsom Salt</v>
      </c>
      <c r="T47" t="str" cm="1">
        <f t="array" aca="1" ref="T47" ca="1">_xlfn.LET(_xlpm.value, OFFSET(INDIRECT(ADDRESS(ROW(),COLUMN())),0,-2), IF(_xlpm.value="","",_xlpm.value))</f>
        <v>29</v>
      </c>
      <c r="U47" t="str" cm="1">
        <f t="array" aca="1" ref="U47" ca="1">_xlfn.LET(_xlpm.value, OFFSET(INDIRECT(ADDRESS(ROW(),COLUMN())),0,-2), IF(_xlpm.value="","",_xlpm.value))</f>
        <v>Epsom Salt</v>
      </c>
      <c r="V47">
        <f ca="1">IF(JarsPlusPlus_2[[#This Row],[Jar]]="", "", IFERROR(SUMIFS(JarsPlusPlus_1[V:Fertilizer Added (g)], JarsPlusPlus_1[Jar], JarsPlusPlus_2[[#This Row],[Jar]], JarsPlusPlus_1[Fertilizer], JarsPlusPlus_2[[#This Row],[Fertilizer]]), " "))</f>
        <v>0.65</v>
      </c>
    </row>
    <row r="48" spans="1:22">
      <c r="A48" t="s">
        <v>528</v>
      </c>
      <c r="B48" t="s">
        <v>524</v>
      </c>
      <c r="C48" t="s">
        <v>460</v>
      </c>
      <c r="D48" t="s">
        <v>529</v>
      </c>
      <c r="E48">
        <f>IFERROR(VALUE(JarsPlusPlus_1[[#This Row],[Water Added (mL)]]), 0)</f>
        <v>190</v>
      </c>
      <c r="F48" t="s">
        <v>374</v>
      </c>
      <c r="G48" t="s">
        <v>179</v>
      </c>
      <c r="H48">
        <f>IFERROR(VALUE(JarsPlusPlus_1[[#This Row],[Fertilizer Added (g)]]), 0)</f>
        <v>0</v>
      </c>
      <c r="I48" t="s">
        <v>14</v>
      </c>
      <c r="J48" t="s">
        <v>14</v>
      </c>
      <c r="L48" t="str">
        <v>35.2</v>
      </c>
      <c r="M48" t="str">
        <v>Milli-Q</v>
      </c>
      <c r="N48" s="17" t="str" cm="1">
        <f t="array" aca="1" ref="N48" ca="1">_xlfn.LET(_xlpm.value, OFFSET(INDIRECT(ADDRESS(ROW(), COLUMN())), 0, -2), IF(_xlpm.value="", "", _xlpm.value))</f>
        <v>35.2</v>
      </c>
      <c r="O48" s="17" t="str" cm="1">
        <f t="array" aca="1" ref="O48" ca="1">_xlfn.LET(_xlpm.value, OFFSET(INDIRECT(ADDRESS(ROW(), COLUMN())), 0, -2), IF(_xlpm.value="", "", _xlpm.value))</f>
        <v>Milli-Q</v>
      </c>
      <c r="P48" s="17">
        <f ca="1">IF(JarsPlusPlus_4[[#This Row],[Jar]]="", "", IFERROR(SUMIFS(JarsPlusPlus_1[V:Water Added (mL)], JarsPlusPlus_1[Jar], JarsPlusPlus_4[[#This Row],[Jar]], JarsPlusPlus_1[Water Type], JarsPlusPlus_4[[#This Row],[Water Type]]), " "))</f>
        <v>190</v>
      </c>
      <c r="R48" t="str">
        <v>30</v>
      </c>
      <c r="S48" t="str">
        <v>12-4-16</v>
      </c>
      <c r="T48" t="str" cm="1">
        <f t="array" aca="1" ref="T48" ca="1">_xlfn.LET(_xlpm.value, OFFSET(INDIRECT(ADDRESS(ROW(),COLUMN())),0,-2), IF(_xlpm.value="","",_xlpm.value))</f>
        <v>30</v>
      </c>
      <c r="U48" t="str" cm="1">
        <f t="array" aca="1" ref="U48" ca="1">_xlfn.LET(_xlpm.value, OFFSET(INDIRECT(ADDRESS(ROW(),COLUMN())),0,-2), IF(_xlpm.value="","",_xlpm.value))</f>
        <v>12-4-16</v>
      </c>
      <c r="V48">
        <f ca="1">IF(JarsPlusPlus_2[[#This Row],[Jar]]="", "", IFERROR(SUMIFS(JarsPlusPlus_1[V:Fertilizer Added (g)], JarsPlusPlus_1[Jar], JarsPlusPlus_2[[#This Row],[Jar]], JarsPlusPlus_1[Fertilizer], JarsPlusPlus_2[[#This Row],[Fertilizer]]), " "))</f>
        <v>1.61</v>
      </c>
    </row>
    <row r="49" spans="1:22">
      <c r="A49" t="s">
        <v>530</v>
      </c>
      <c r="B49" t="s">
        <v>531</v>
      </c>
      <c r="C49" t="s">
        <v>460</v>
      </c>
      <c r="D49" t="s">
        <v>383</v>
      </c>
      <c r="E49">
        <f>IFERROR(VALUE(JarsPlusPlus_1[[#This Row],[Water Added (mL)]]), 0)</f>
        <v>1700</v>
      </c>
      <c r="F49" t="s">
        <v>236</v>
      </c>
      <c r="G49" s="10" t="s">
        <v>680</v>
      </c>
      <c r="H49">
        <f>IFERROR(VALUE(JarsPlusPlus_1[[#This Row],[Fertilizer Added (g)]]), 0)</f>
        <v>2.89</v>
      </c>
      <c r="I49" t="s">
        <v>535</v>
      </c>
      <c r="J49" t="s">
        <v>681</v>
      </c>
      <c r="L49" t="str">
        <v>36</v>
      </c>
      <c r="M49" t="str">
        <v>Milli-Q</v>
      </c>
      <c r="N49" s="17" t="str" cm="1">
        <f t="array" aca="1" ref="N49" ca="1">_xlfn.LET(_xlpm.value, OFFSET(INDIRECT(ADDRESS(ROW(), COLUMN())), 0, -2), IF(_xlpm.value="", "", _xlpm.value))</f>
        <v>36</v>
      </c>
      <c r="O49" s="17" t="str" cm="1">
        <f t="array" aca="1" ref="O49" ca="1">_xlfn.LET(_xlpm.value, OFFSET(INDIRECT(ADDRESS(ROW(), COLUMN())), 0, -2), IF(_xlpm.value="", "", _xlpm.value))</f>
        <v>Milli-Q</v>
      </c>
      <c r="P49" s="1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49" t="str">
        <v>30</v>
      </c>
      <c r="S49" t="str">
        <v>Epsom Salt</v>
      </c>
      <c r="T49" t="str" cm="1">
        <f t="array" aca="1" ref="T49" ca="1">_xlfn.LET(_xlpm.value, OFFSET(INDIRECT(ADDRESS(ROW(),COLUMN())),0,-2), IF(_xlpm.value="","",_xlpm.value))</f>
        <v>30</v>
      </c>
      <c r="U49" t="str" cm="1">
        <f t="array" aca="1" ref="U49" ca="1">_xlfn.LET(_xlpm.value, OFFSET(INDIRECT(ADDRESS(ROW(),COLUMN())),0,-2), IF(_xlpm.value="","",_xlpm.value))</f>
        <v>Epsom Salt</v>
      </c>
      <c r="V49">
        <f ca="1">IF(JarsPlusPlus_2[[#This Row],[Jar]]="", "", IFERROR(SUMIFS(JarsPlusPlus_1[V:Fertilizer Added (g)], JarsPlusPlus_1[Jar], JarsPlusPlus_2[[#This Row],[Jar]], JarsPlusPlus_1[Fertilizer], JarsPlusPlus_2[[#This Row],[Fertilizer]]), " "))</f>
        <v>0.47</v>
      </c>
    </row>
    <row r="50" spans="1:22">
      <c r="A50" t="s">
        <v>532</v>
      </c>
      <c r="B50" t="s">
        <v>531</v>
      </c>
      <c r="C50" t="s">
        <v>460</v>
      </c>
      <c r="D50" t="s">
        <v>383</v>
      </c>
      <c r="E50">
        <f>IFERROR(VALUE(JarsPlusPlus_1[[#This Row],[Water Added (mL)]]), 0)</f>
        <v>1700</v>
      </c>
      <c r="F50" t="s">
        <v>236</v>
      </c>
      <c r="G50" s="10" t="s">
        <v>682</v>
      </c>
      <c r="H50">
        <f>IFERROR(VALUE(JarsPlusPlus_1[[#This Row],[Fertilizer Added (g)]]), 0)</f>
        <v>2.9</v>
      </c>
      <c r="I50" t="s">
        <v>540</v>
      </c>
      <c r="J50" t="s">
        <v>683</v>
      </c>
      <c r="L50" t="str">
        <v>37</v>
      </c>
      <c r="M50" t="str">
        <v>Milli-Q</v>
      </c>
      <c r="N50" s="17" t="str" cm="1">
        <f t="array" aca="1" ref="N50" ca="1">_xlfn.LET(_xlpm.value, OFFSET(INDIRECT(ADDRESS(ROW(), COLUMN())), 0, -2), IF(_xlpm.value="", "", _xlpm.value))</f>
        <v>37</v>
      </c>
      <c r="O50" s="17" t="str" cm="1">
        <f t="array" aca="1" ref="O50" ca="1">_xlfn.LET(_xlpm.value, OFFSET(INDIRECT(ADDRESS(ROW(), COLUMN())), 0, -2), IF(_xlpm.value="", "", _xlpm.value))</f>
        <v>Milli-Q</v>
      </c>
      <c r="P50" s="17">
        <f ca="1">IF(JarsPlusPlus_4[[#This Row],[Jar]]="", "", IFERROR(SUMIFS(JarsPlusPlus_1[V:Water Added (mL)], JarsPlusPlus_1[Jar], JarsPlusPlus_4[[#This Row],[Jar]], JarsPlusPlus_1[Water Type], JarsPlusPlus_4[[#This Row],[Water Type]]), " "))</f>
        <v>1700</v>
      </c>
      <c r="R50" t="str">
        <v>31</v>
      </c>
      <c r="S50" t="str">
        <v>12-4-16</v>
      </c>
      <c r="T50" t="str" cm="1">
        <f t="array" aca="1" ref="T50" ca="1">_xlfn.LET(_xlpm.value, OFFSET(INDIRECT(ADDRESS(ROW(),COLUMN())),0,-2), IF(_xlpm.value="","",_xlpm.value))</f>
        <v>31</v>
      </c>
      <c r="U50" t="str" cm="1">
        <f t="array" aca="1" ref="U50" ca="1">_xlfn.LET(_xlpm.value, OFFSET(INDIRECT(ADDRESS(ROW(),COLUMN())),0,-2), IF(_xlpm.value="","",_xlpm.value))</f>
        <v>12-4-16</v>
      </c>
      <c r="V50">
        <f ca="1">IF(JarsPlusPlus_2[[#This Row],[Jar]]="", "", IFERROR(SUMIFS(JarsPlusPlus_1[V:Fertilizer Added (g)], JarsPlusPlus_1[Jar], JarsPlusPlus_2[[#This Row],[Jar]], JarsPlusPlus_1[Fertilizer], JarsPlusPlus_2[[#This Row],[Fertilizer]]), " "))</f>
        <v>1.54</v>
      </c>
    </row>
    <row r="51" spans="1:22">
      <c r="A51" t="s">
        <v>533</v>
      </c>
      <c r="B51" t="s">
        <v>531</v>
      </c>
      <c r="C51" t="s">
        <v>460</v>
      </c>
      <c r="D51" t="s">
        <v>482</v>
      </c>
      <c r="E51">
        <f>IFERROR(VALUE(JarsPlusPlus_1[[#This Row],[Water Added (mL)]]), 0)</f>
        <v>275</v>
      </c>
      <c r="F51" t="s">
        <v>236</v>
      </c>
      <c r="G51" s="10" t="s">
        <v>684</v>
      </c>
      <c r="H51">
        <f>IFERROR(VALUE(JarsPlusPlus_1[[#This Row],[Fertilizer Added (g)]]), 0)</f>
        <v>0.28000000000000003</v>
      </c>
      <c r="I51" t="s">
        <v>535</v>
      </c>
      <c r="J51" t="s">
        <v>536</v>
      </c>
      <c r="L51" t="str">
        <v>38</v>
      </c>
      <c r="M51" t="str">
        <v>Milli-Q</v>
      </c>
      <c r="N51" s="17" t="str" cm="1">
        <f t="array" aca="1" ref="N51" ca="1">_xlfn.LET(_xlpm.value, OFFSET(INDIRECT(ADDRESS(ROW(), COLUMN())), 0, -2), IF(_xlpm.value="", "", _xlpm.value))</f>
        <v>38</v>
      </c>
      <c r="O51" s="17" t="str" cm="1">
        <f t="array" aca="1" ref="O51" ca="1">_xlfn.LET(_xlpm.value, OFFSET(INDIRECT(ADDRESS(ROW(), COLUMN())), 0, -2), IF(_xlpm.value="", "", _xlpm.value))</f>
        <v>Milli-Q</v>
      </c>
      <c r="P51" s="17">
        <f ca="1">IF(JarsPlusPlus_4[[#This Row],[Jar]]="", "", IFERROR(SUMIFS(JarsPlusPlus_1[V:Water Added (mL)], JarsPlusPlus_1[Jar], JarsPlusPlus_4[[#This Row],[Jar]], JarsPlusPlus_1[Water Type], JarsPlusPlus_4[[#This Row],[Water Type]]), " "))</f>
        <v>275</v>
      </c>
      <c r="R51" t="str">
        <v>36</v>
      </c>
      <c r="S51" t="str">
        <v>12-4-16</v>
      </c>
      <c r="T51" t="str" cm="1">
        <f t="array" aca="1" ref="T51" ca="1">_xlfn.LET(_xlpm.value, OFFSET(INDIRECT(ADDRESS(ROW(),COLUMN())),0,-2), IF(_xlpm.value="","",_xlpm.value))</f>
        <v>36</v>
      </c>
      <c r="U51" t="str" cm="1">
        <f t="array" aca="1" ref="U51" ca="1">_xlfn.LET(_xlpm.value, OFFSET(INDIRECT(ADDRESS(ROW(),COLUMN())),0,-2), IF(_xlpm.value="","",_xlpm.value))</f>
        <v>12-4-16</v>
      </c>
      <c r="V51">
        <f ca="1">IF(JarsPlusPlus_2[[#This Row],[Jar]]="", "", IFERROR(SUMIFS(JarsPlusPlus_1[V:Fertilizer Added (g)], JarsPlusPlus_1[Jar], JarsPlusPlus_2[[#This Row],[Jar]], JarsPlusPlus_1[Fertilizer], JarsPlusPlus_2[[#This Row],[Fertilizer]]), " "))</f>
        <v>2.89</v>
      </c>
    </row>
    <row r="52" spans="1:22">
      <c r="A52" t="s">
        <v>537</v>
      </c>
      <c r="B52" t="s">
        <v>531</v>
      </c>
      <c r="C52" t="s">
        <v>460</v>
      </c>
      <c r="D52" t="s">
        <v>538</v>
      </c>
      <c r="E52">
        <f>IFERROR(VALUE(JarsPlusPlus_1[[#This Row],[Water Added (mL)]]), 0)</f>
        <v>295</v>
      </c>
      <c r="F52" t="s">
        <v>236</v>
      </c>
      <c r="G52" s="10" t="s">
        <v>685</v>
      </c>
      <c r="H52">
        <f>IFERROR(VALUE(JarsPlusPlus_1[[#This Row],[Fertilizer Added (g)]]), 0)</f>
        <v>0.3</v>
      </c>
      <c r="I52" t="s">
        <v>540</v>
      </c>
      <c r="J52" t="s">
        <v>541</v>
      </c>
      <c r="L52" t="str">
        <v>39</v>
      </c>
      <c r="M52" t="str">
        <v>Milli-Q</v>
      </c>
      <c r="N52" s="17" t="str" cm="1">
        <f t="array" aca="1" ref="N52" ca="1">_xlfn.LET(_xlpm.value, OFFSET(INDIRECT(ADDRESS(ROW(), COLUMN())), 0, -2), IF(_xlpm.value="", "", _xlpm.value))</f>
        <v>39</v>
      </c>
      <c r="O52" s="17" t="str" cm="1">
        <f t="array" aca="1" ref="O52" ca="1">_xlfn.LET(_xlpm.value, OFFSET(INDIRECT(ADDRESS(ROW(), COLUMN())), 0, -2), IF(_xlpm.value="", "", _xlpm.value))</f>
        <v>Milli-Q</v>
      </c>
      <c r="P52" s="17">
        <f ca="1">IF(JarsPlusPlus_4[[#This Row],[Jar]]="", "", IFERROR(SUMIFS(JarsPlusPlus_1[V:Water Added (mL)], JarsPlusPlus_1[Jar], JarsPlusPlus_4[[#This Row],[Jar]], JarsPlusPlus_1[Water Type], JarsPlusPlus_4[[#This Row],[Water Type]]), " "))</f>
        <v>305</v>
      </c>
      <c r="R52" t="str">
        <v>37</v>
      </c>
      <c r="S52" t="str">
        <v>12-4-16</v>
      </c>
      <c r="T52" t="str" cm="1">
        <f t="array" aca="1" ref="T52" ca="1">_xlfn.LET(_xlpm.value, OFFSET(INDIRECT(ADDRESS(ROW(),COLUMN())),0,-2), IF(_xlpm.value="","",_xlpm.value))</f>
        <v>37</v>
      </c>
      <c r="U52" t="str" cm="1">
        <f t="array" aca="1" ref="U52" ca="1">_xlfn.LET(_xlpm.value, OFFSET(INDIRECT(ADDRESS(ROW(),COLUMN())),0,-2), IF(_xlpm.value="","",_xlpm.value))</f>
        <v>12-4-16</v>
      </c>
      <c r="V52">
        <f ca="1">IF(JarsPlusPlus_2[[#This Row],[Jar]]="", "", IFERROR(SUMIFS(JarsPlusPlus_1[V:Fertilizer Added (g)], JarsPlusPlus_1[Jar], JarsPlusPlus_2[[#This Row],[Jar]], JarsPlusPlus_1[Fertilizer], JarsPlusPlus_2[[#This Row],[Fertilizer]]), " "))</f>
        <v>2.9</v>
      </c>
    </row>
    <row r="53" spans="1:22">
      <c r="A53" t="s">
        <v>542</v>
      </c>
      <c r="B53" t="s">
        <v>531</v>
      </c>
      <c r="C53" t="s">
        <v>460</v>
      </c>
      <c r="D53" t="s">
        <v>195</v>
      </c>
      <c r="E53">
        <f>IFERROR(VALUE(JarsPlusPlus_1[[#This Row],[Water Added (mL)]]), 0)</f>
        <v>250</v>
      </c>
      <c r="F53" t="s">
        <v>236</v>
      </c>
      <c r="G53" s="10" t="s">
        <v>686</v>
      </c>
      <c r="H53">
        <f>IFERROR(VALUE(JarsPlusPlus_1[[#This Row],[Fertilizer Added (g)]]), 0)</f>
        <v>0.24</v>
      </c>
      <c r="I53" t="s">
        <v>544</v>
      </c>
      <c r="J53" t="s">
        <v>545</v>
      </c>
      <c r="L53" t="str">
        <v>40</v>
      </c>
      <c r="M53" t="str">
        <v>Milli-Q</v>
      </c>
      <c r="N53" s="17" t="str" cm="1">
        <f t="array" aca="1" ref="N53" ca="1">_xlfn.LET(_xlpm.value, OFFSET(INDIRECT(ADDRESS(ROW(), COLUMN())), 0, -2), IF(_xlpm.value="", "", _xlpm.value))</f>
        <v>40</v>
      </c>
      <c r="O53" s="17" t="str" cm="1">
        <f t="array" aca="1" ref="O53" ca="1">_xlfn.LET(_xlpm.value, OFFSET(INDIRECT(ADDRESS(ROW(), COLUMN())), 0, -2), IF(_xlpm.value="", "", _xlpm.value))</f>
        <v>Milli-Q</v>
      </c>
      <c r="P53" s="17">
        <f ca="1">IF(JarsPlusPlus_4[[#This Row],[Jar]]="", "", IFERROR(SUMIFS(JarsPlusPlus_1[V:Water Added (mL)], JarsPlusPlus_1[Jar], JarsPlusPlus_4[[#This Row],[Jar]], JarsPlusPlus_1[Water Type], JarsPlusPlus_4[[#This Row],[Water Type]]), " "))</f>
        <v>250</v>
      </c>
      <c r="R53" t="str">
        <v>38</v>
      </c>
      <c r="S53" t="str">
        <v>12-4-16</v>
      </c>
      <c r="T53" t="str" cm="1">
        <f t="array" aca="1" ref="T53" ca="1">_xlfn.LET(_xlpm.value, OFFSET(INDIRECT(ADDRESS(ROW(),COLUMN())),0,-2), IF(_xlpm.value="","",_xlpm.value))</f>
        <v>38</v>
      </c>
      <c r="U53" t="str" cm="1">
        <f t="array" aca="1" ref="U53" ca="1">_xlfn.LET(_xlpm.value, OFFSET(INDIRECT(ADDRESS(ROW(),COLUMN())),0,-2), IF(_xlpm.value="","",_xlpm.value))</f>
        <v>12-4-16</v>
      </c>
      <c r="V53">
        <f ca="1">IF(JarsPlusPlus_2[[#This Row],[Jar]]="", "", IFERROR(SUMIFS(JarsPlusPlus_1[V:Fertilizer Added (g)], JarsPlusPlus_1[Jar], JarsPlusPlus_2[[#This Row],[Jar]], JarsPlusPlus_1[Fertilizer], JarsPlusPlus_2[[#This Row],[Fertilizer]]), " "))</f>
        <v>0.28000000000000003</v>
      </c>
    </row>
    <row r="54" spans="1:22">
      <c r="A54" t="s">
        <v>463</v>
      </c>
      <c r="B54" t="s">
        <v>497</v>
      </c>
      <c r="C54" t="s">
        <v>374</v>
      </c>
      <c r="D54" t="s">
        <v>179</v>
      </c>
      <c r="E54">
        <f>IFERROR(VALUE(JarsPlusPlus_1[[#This Row],[Water Added (mL)]]), 0)</f>
        <v>0</v>
      </c>
      <c r="F54" t="s">
        <v>236</v>
      </c>
      <c r="G54" t="s">
        <v>674</v>
      </c>
      <c r="H54">
        <f>IFERROR(VALUE(JarsPlusPlus_1[[#This Row],[Fertilizer Added (g)]]), 0)</f>
        <v>1.05</v>
      </c>
      <c r="I54" t="s">
        <v>535</v>
      </c>
      <c r="J54" t="s">
        <v>14</v>
      </c>
      <c r="N54" s="17" t="str" cm="1">
        <f t="array" aca="1" ref="N54" ca="1">_xlfn.LET(_xlpm.value, OFFSET(INDIRECT(ADDRESS(ROW(), COLUMN())), 0, -2), IF(_xlpm.value="", "", _xlpm.value))</f>
        <v/>
      </c>
      <c r="O54" s="17" t="str" cm="1">
        <f t="array" aca="1" ref="O54" ca="1">_xlfn.LET(_xlpm.value, OFFSET(INDIRECT(ADDRESS(ROW(), COLUMN())), 0, -2), IF(_xlpm.value="", "", _xlpm.value))</f>
        <v/>
      </c>
      <c r="P5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4" t="str">
        <v>39</v>
      </c>
      <c r="S54" t="str">
        <v>12-4-16</v>
      </c>
      <c r="T54" t="str" cm="1">
        <f t="array" aca="1" ref="T54" ca="1">_xlfn.LET(_xlpm.value, OFFSET(INDIRECT(ADDRESS(ROW(),COLUMN())),0,-2), IF(_xlpm.value="","",_xlpm.value))</f>
        <v>39</v>
      </c>
      <c r="U54" t="str" cm="1">
        <f t="array" aca="1" ref="U54" ca="1">_xlfn.LET(_xlpm.value, OFFSET(INDIRECT(ADDRESS(ROW(),COLUMN())),0,-2), IF(_xlpm.value="","",_xlpm.value))</f>
        <v>12-4-16</v>
      </c>
      <c r="V54">
        <f ca="1">IF(JarsPlusPlus_2[[#This Row],[Jar]]="", "", IFERROR(SUMIFS(JarsPlusPlus_1[V:Fertilizer Added (g)], JarsPlusPlus_1[Jar], JarsPlusPlus_2[[#This Row],[Jar]], JarsPlusPlus_1[Fertilizer], JarsPlusPlus_2[[#This Row],[Fertilizer]]), " "))</f>
        <v>0.3</v>
      </c>
    </row>
    <row r="55" spans="1:22">
      <c r="A55" t="s">
        <v>472</v>
      </c>
      <c r="B55" t="s">
        <v>497</v>
      </c>
      <c r="C55" t="s">
        <v>374</v>
      </c>
      <c r="D55" t="s">
        <v>179</v>
      </c>
      <c r="E55">
        <f>IFERROR(VALUE(JarsPlusPlus_1[[#This Row],[Water Added (mL)]]), 0)</f>
        <v>0</v>
      </c>
      <c r="F55" t="s">
        <v>236</v>
      </c>
      <c r="G55" t="s">
        <v>675</v>
      </c>
      <c r="H55">
        <f>IFERROR(VALUE(JarsPlusPlus_1[[#This Row],[Fertilizer Added (g)]]), 0)</f>
        <v>1.52</v>
      </c>
      <c r="I55" t="s">
        <v>540</v>
      </c>
      <c r="J55" t="s">
        <v>14</v>
      </c>
      <c r="N55" s="17" t="str" cm="1">
        <f t="array" aca="1" ref="N55" ca="1">_xlfn.LET(_xlpm.value, OFFSET(INDIRECT(ADDRESS(ROW(), COLUMN())), 0, -2), IF(_xlpm.value="", "", _xlpm.value))</f>
        <v/>
      </c>
      <c r="O55" s="17" t="str" cm="1">
        <f t="array" aca="1" ref="O55" ca="1">_xlfn.LET(_xlpm.value, OFFSET(INDIRECT(ADDRESS(ROW(), COLUMN())), 0, -2), IF(_xlpm.value="", "", _xlpm.value))</f>
        <v/>
      </c>
      <c r="P5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R55" t="str">
        <v>40</v>
      </c>
      <c r="S55" t="str">
        <v>12-4-16</v>
      </c>
      <c r="T55" t="str" cm="1">
        <f t="array" aca="1" ref="T55" ca="1">_xlfn.LET(_xlpm.value, OFFSET(INDIRECT(ADDRESS(ROW(),COLUMN())),0,-2), IF(_xlpm.value="","",_xlpm.value))</f>
        <v>40</v>
      </c>
      <c r="U55" t="str" cm="1">
        <f t="array" aca="1" ref="U55" ca="1">_xlfn.LET(_xlpm.value, OFFSET(INDIRECT(ADDRESS(ROW(),COLUMN())),0,-2), IF(_xlpm.value="","",_xlpm.value))</f>
        <v>12-4-16</v>
      </c>
      <c r="V55">
        <f ca="1">IF(JarsPlusPlus_2[[#This Row],[Jar]]="", "", IFERROR(SUMIFS(JarsPlusPlus_1[V:Fertilizer Added (g)], JarsPlusPlus_1[Jar], JarsPlusPlus_2[[#This Row],[Jar]], JarsPlusPlus_1[Fertilizer], JarsPlusPlus_2[[#This Row],[Fertilizer]]), " "))</f>
        <v>0.24</v>
      </c>
    </row>
    <row r="56" spans="1:22">
      <c r="A56" t="s">
        <v>495</v>
      </c>
      <c r="B56" t="s">
        <v>497</v>
      </c>
      <c r="C56" t="s">
        <v>374</v>
      </c>
      <c r="D56" t="s">
        <v>179</v>
      </c>
      <c r="E56">
        <f>IFERROR(VALUE(JarsPlusPlus_1[[#This Row],[Water Added (mL)]]), 0)</f>
        <v>0</v>
      </c>
      <c r="F56" t="s">
        <v>236</v>
      </c>
      <c r="G56" t="s">
        <v>434</v>
      </c>
      <c r="H56">
        <f>IFERROR(VALUE(JarsPlusPlus_1[[#This Row],[Fertilizer Added (g)]]), 0)</f>
        <v>1.8</v>
      </c>
      <c r="I56" t="s">
        <v>535</v>
      </c>
      <c r="J56" t="s">
        <v>14</v>
      </c>
      <c r="N56" s="17" t="str" cm="1">
        <f t="array" aca="1" ref="N56" ca="1">_xlfn.LET(_xlpm.value, OFFSET(INDIRECT(ADDRESS(ROW(), COLUMN())), 0, -2), IF(_xlpm.value="", "", _xlpm.value))</f>
        <v/>
      </c>
      <c r="O56" s="17" t="str" cm="1">
        <f t="array" aca="1" ref="O56" ca="1">_xlfn.LET(_xlpm.value, OFFSET(INDIRECT(ADDRESS(ROW(), COLUMN())), 0, -2), IF(_xlpm.value="", "", _xlpm.value))</f>
        <v/>
      </c>
      <c r="P5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6" t="str" cm="1">
        <f t="array" aca="1" ref="T56" ca="1">_xlfn.LET(_xlpm.value, OFFSET(INDIRECT(ADDRESS(ROW(),COLUMN())),0,-2), IF(_xlpm.value="","",_xlpm.value))</f>
        <v/>
      </c>
      <c r="U56" t="str" cm="1">
        <f t="array" aca="1" ref="U56" ca="1">_xlfn.LET(_xlpm.value, OFFSET(INDIRECT(ADDRESS(ROW(),COLUMN())),0,-2), IF(_xlpm.value="","",_xlpm.value))</f>
        <v/>
      </c>
      <c r="V56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57" spans="1:22">
      <c r="A57" t="s">
        <v>498</v>
      </c>
      <c r="B57" t="s">
        <v>497</v>
      </c>
      <c r="C57" t="s">
        <v>374</v>
      </c>
      <c r="D57" t="s">
        <v>179</v>
      </c>
      <c r="E57">
        <f>IFERROR(VALUE(JarsPlusPlus_1[[#This Row],[Water Added (mL)]]), 0)</f>
        <v>0</v>
      </c>
      <c r="F57" t="s">
        <v>236</v>
      </c>
      <c r="G57" t="s">
        <v>676</v>
      </c>
      <c r="H57">
        <f>IFERROR(VALUE(JarsPlusPlus_1[[#This Row],[Fertilizer Added (g)]]), 0)</f>
        <v>0.69399999999999995</v>
      </c>
      <c r="I57" t="s">
        <v>535</v>
      </c>
      <c r="J57" t="s">
        <v>14</v>
      </c>
      <c r="N57" s="17" t="str" cm="1">
        <f t="array" aca="1" ref="N57" ca="1">_xlfn.LET(_xlpm.value, OFFSET(INDIRECT(ADDRESS(ROW(), COLUMN())), 0, -2), IF(_xlpm.value="", "", _xlpm.value))</f>
        <v/>
      </c>
      <c r="O57" s="17" t="str" cm="1">
        <f t="array" aca="1" ref="O57" ca="1">_xlfn.LET(_xlpm.value, OFFSET(INDIRECT(ADDRESS(ROW(), COLUMN())), 0, -2), IF(_xlpm.value="", "", _xlpm.value))</f>
        <v/>
      </c>
      <c r="P5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7" t="str" cm="1">
        <f t="array" aca="1" ref="T57" ca="1">_xlfn.LET(_xlpm.value, OFFSET(INDIRECT(ADDRESS(ROW(),COLUMN())),0,-2), IF(_xlpm.value="","",_xlpm.value))</f>
        <v/>
      </c>
      <c r="U57" t="str" cm="1">
        <f t="array" aca="1" ref="U57" ca="1">_xlfn.LET(_xlpm.value, OFFSET(INDIRECT(ADDRESS(ROW(),COLUMN())),0,-2), IF(_xlpm.value="","",_xlpm.value))</f>
        <v/>
      </c>
      <c r="V5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58" spans="1:22">
      <c r="A58" t="s">
        <v>503</v>
      </c>
      <c r="B58" t="s">
        <v>497</v>
      </c>
      <c r="C58" t="s">
        <v>374</v>
      </c>
      <c r="D58" t="s">
        <v>179</v>
      </c>
      <c r="E58">
        <f>IFERROR(VALUE(JarsPlusPlus_1[[#This Row],[Water Added (mL)]]), 0)</f>
        <v>0</v>
      </c>
      <c r="F58" t="s">
        <v>236</v>
      </c>
      <c r="G58" t="s">
        <v>677</v>
      </c>
      <c r="H58">
        <f>IFERROR(VALUE(JarsPlusPlus_1[[#This Row],[Fertilizer Added (g)]]), 0)</f>
        <v>0.89200000000000002</v>
      </c>
      <c r="I58" t="s">
        <v>540</v>
      </c>
      <c r="J58" t="s">
        <v>14</v>
      </c>
      <c r="N58" s="17" t="str" cm="1">
        <f t="array" aca="1" ref="N58" ca="1">_xlfn.LET(_xlpm.value, OFFSET(INDIRECT(ADDRESS(ROW(), COLUMN())), 0, -2), IF(_xlpm.value="", "", _xlpm.value))</f>
        <v/>
      </c>
      <c r="O58" s="17" t="str" cm="1">
        <f t="array" aca="1" ref="O58" ca="1">_xlfn.LET(_xlpm.value, OFFSET(INDIRECT(ADDRESS(ROW(), COLUMN())), 0, -2), IF(_xlpm.value="", "", _xlpm.value))</f>
        <v/>
      </c>
      <c r="P5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8" t="str" cm="1">
        <f t="array" aca="1" ref="T58" ca="1">_xlfn.LET(_xlpm.value, OFFSET(INDIRECT(ADDRESS(ROW(),COLUMN())),0,-2), IF(_xlpm.value="","",_xlpm.value))</f>
        <v/>
      </c>
      <c r="U58" t="str" cm="1">
        <f t="array" aca="1" ref="U58" ca="1">_xlfn.LET(_xlpm.value, OFFSET(INDIRECT(ADDRESS(ROW(),COLUMN())),0,-2), IF(_xlpm.value="","",_xlpm.value))</f>
        <v/>
      </c>
      <c r="V58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59" spans="1:22">
      <c r="A59" t="s">
        <v>495</v>
      </c>
      <c r="B59" t="s">
        <v>678</v>
      </c>
      <c r="C59" t="s">
        <v>374</v>
      </c>
      <c r="D59" t="s">
        <v>179</v>
      </c>
      <c r="E59">
        <f>IFERROR(VALUE(JarsPlusPlus_1[[#This Row],[Water Added (mL)]]), 0)</f>
        <v>0</v>
      </c>
      <c r="F59" t="s">
        <v>233</v>
      </c>
      <c r="G59" t="s">
        <v>679</v>
      </c>
      <c r="H59">
        <f>IFERROR(VALUE(JarsPlusPlus_1[[#This Row],[Fertilizer Added (g)]]), 0)</f>
        <v>0.32</v>
      </c>
      <c r="I59" t="s">
        <v>14</v>
      </c>
      <c r="J59" t="s">
        <v>14</v>
      </c>
      <c r="N59" s="17" t="str" cm="1">
        <f t="array" aca="1" ref="N59" ca="1">_xlfn.LET(_xlpm.value, OFFSET(INDIRECT(ADDRESS(ROW(), COLUMN())), 0, -2), IF(_xlpm.value="", "", _xlpm.value))</f>
        <v/>
      </c>
      <c r="O59" s="17" t="str" cm="1">
        <f t="array" aca="1" ref="O59" ca="1">_xlfn.LET(_xlpm.value, OFFSET(INDIRECT(ADDRESS(ROW(), COLUMN())), 0, -2), IF(_xlpm.value="", "", _xlpm.value))</f>
        <v/>
      </c>
      <c r="P5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59" t="str" cm="1">
        <f t="array" aca="1" ref="T59" ca="1">_xlfn.LET(_xlpm.value, OFFSET(INDIRECT(ADDRESS(ROW(),COLUMN())),0,-2), IF(_xlpm.value="","",_xlpm.value))</f>
        <v/>
      </c>
      <c r="U59" t="str" cm="1">
        <f t="array" aca="1" ref="U59" ca="1">_xlfn.LET(_xlpm.value, OFFSET(INDIRECT(ADDRESS(ROW(),COLUMN())),0,-2), IF(_xlpm.value="","",_xlpm.value))</f>
        <v/>
      </c>
      <c r="V59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0" spans="1:22">
      <c r="A60" t="s">
        <v>463</v>
      </c>
      <c r="B60" t="s">
        <v>678</v>
      </c>
      <c r="C60" t="s">
        <v>374</v>
      </c>
      <c r="D60" s="10" t="s">
        <v>179</v>
      </c>
      <c r="E60">
        <f>IFERROR(VALUE(JarsPlusPlus_1[[#This Row],[Water Added (mL)]]), 0)</f>
        <v>0</v>
      </c>
      <c r="F60" t="s">
        <v>233</v>
      </c>
      <c r="G60" t="s">
        <v>684</v>
      </c>
      <c r="H60">
        <f>IFERROR(VALUE(JarsPlusPlus_1[[#This Row],[Fertilizer Added (g)]]), 0)</f>
        <v>0.28000000000000003</v>
      </c>
      <c r="I60" t="s">
        <v>14</v>
      </c>
      <c r="J60" t="s">
        <v>14</v>
      </c>
      <c r="N60" s="17" t="str" cm="1">
        <f t="array" aca="1" ref="N60" ca="1">_xlfn.LET(_xlpm.value, OFFSET(INDIRECT(ADDRESS(ROW(), COLUMN())), 0, -2), IF(_xlpm.value="", "", _xlpm.value))</f>
        <v/>
      </c>
      <c r="O60" s="17" t="str" cm="1">
        <f t="array" aca="1" ref="O60" ca="1">_xlfn.LET(_xlpm.value, OFFSET(INDIRECT(ADDRESS(ROW(), COLUMN())), 0, -2), IF(_xlpm.value="", "", _xlpm.value))</f>
        <v/>
      </c>
      <c r="P6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0" t="str" cm="1">
        <f t="array" aca="1" ref="T60" ca="1">_xlfn.LET(_xlpm.value, OFFSET(INDIRECT(ADDRESS(ROW(),COLUMN())),0,-2), IF(_xlpm.value="","",_xlpm.value))</f>
        <v/>
      </c>
      <c r="U60" t="str" cm="1">
        <f t="array" aca="1" ref="U60" ca="1">_xlfn.LET(_xlpm.value, OFFSET(INDIRECT(ADDRESS(ROW(),COLUMN())),0,-2), IF(_xlpm.value="","",_xlpm.value))</f>
        <v/>
      </c>
      <c r="V60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1" spans="1:22">
      <c r="A61" t="s">
        <v>456</v>
      </c>
      <c r="B61" t="s">
        <v>678</v>
      </c>
      <c r="C61" t="s">
        <v>374</v>
      </c>
      <c r="D61" s="10" t="s">
        <v>179</v>
      </c>
      <c r="E61">
        <f>IFERROR(VALUE(JarsPlusPlus_1[[#This Row],[Water Added (mL)]]), 0)</f>
        <v>0</v>
      </c>
      <c r="F61" t="s">
        <v>233</v>
      </c>
      <c r="G61" t="s">
        <v>687</v>
      </c>
      <c r="H61">
        <f>IFERROR(VALUE(JarsPlusPlus_1[[#This Row],[Fertilizer Added (g)]]), 0)</f>
        <v>0.53</v>
      </c>
      <c r="I61" t="s">
        <v>14</v>
      </c>
      <c r="J61" t="s">
        <v>14</v>
      </c>
      <c r="N61" s="17" t="str" cm="1">
        <f t="array" aca="1" ref="N61" ca="1">_xlfn.LET(_xlpm.value, OFFSET(INDIRECT(ADDRESS(ROW(), COLUMN())), 0, -2), IF(_xlpm.value="", "", _xlpm.value))</f>
        <v/>
      </c>
      <c r="O61" s="17" t="str" cm="1">
        <f t="array" aca="1" ref="O61" ca="1">_xlfn.LET(_xlpm.value, OFFSET(INDIRECT(ADDRESS(ROW(), COLUMN())), 0, -2), IF(_xlpm.value="", "", _xlpm.value))</f>
        <v/>
      </c>
      <c r="P6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1" t="str" cm="1">
        <f t="array" aca="1" ref="T61" ca="1">_xlfn.LET(_xlpm.value, OFFSET(INDIRECT(ADDRESS(ROW(),COLUMN())),0,-2), IF(_xlpm.value="","",_xlpm.value))</f>
        <v/>
      </c>
      <c r="U61" t="str" cm="1">
        <f t="array" aca="1" ref="U61" ca="1">_xlfn.LET(_xlpm.value, OFFSET(INDIRECT(ADDRESS(ROW(),COLUMN())),0,-2), IF(_xlpm.value="","",_xlpm.value))</f>
        <v/>
      </c>
      <c r="V61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2" spans="1:22">
      <c r="A62" s="10" t="s">
        <v>503</v>
      </c>
      <c r="B62" t="s">
        <v>678</v>
      </c>
      <c r="C62" t="s">
        <v>374</v>
      </c>
      <c r="D62" s="10" t="s">
        <v>179</v>
      </c>
      <c r="E62">
        <f>IFERROR(VALUE(JarsPlusPlus_1[[#This Row],[Water Added (mL)]]), 0)</f>
        <v>0</v>
      </c>
      <c r="F62" t="s">
        <v>233</v>
      </c>
      <c r="G62" t="s">
        <v>688</v>
      </c>
      <c r="H62">
        <f>IFERROR(VALUE(JarsPlusPlus_1[[#This Row],[Fertilizer Added (g)]]), 0)</f>
        <v>0.2</v>
      </c>
      <c r="I62" t="s">
        <v>14</v>
      </c>
      <c r="J62" t="s">
        <v>14</v>
      </c>
      <c r="N62" s="17" t="str" cm="1">
        <f t="array" aca="1" ref="N62" ca="1">_xlfn.LET(_xlpm.value, OFFSET(INDIRECT(ADDRESS(ROW(), COLUMN())), 0, -2), IF(_xlpm.value="", "", _xlpm.value))</f>
        <v/>
      </c>
      <c r="O62" s="17" t="str" cm="1">
        <f t="array" aca="1" ref="O62" ca="1">_xlfn.LET(_xlpm.value, OFFSET(INDIRECT(ADDRESS(ROW(), COLUMN())), 0, -2), IF(_xlpm.value="", "", _xlpm.value))</f>
        <v/>
      </c>
      <c r="P6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2" t="str" cm="1">
        <f t="array" aca="1" ref="T62" ca="1">_xlfn.LET(_xlpm.value, OFFSET(INDIRECT(ADDRESS(ROW(),COLUMN())),0,-2), IF(_xlpm.value="","",_xlpm.value))</f>
        <v/>
      </c>
      <c r="U62" t="str" cm="1">
        <f t="array" aca="1" ref="U62" ca="1">_xlfn.LET(_xlpm.value, OFFSET(INDIRECT(ADDRESS(ROW(),COLUMN())),0,-2), IF(_xlpm.value="","",_xlpm.value))</f>
        <v/>
      </c>
      <c r="V62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3" spans="1:22">
      <c r="A63" t="s">
        <v>472</v>
      </c>
      <c r="B63" t="s">
        <v>678</v>
      </c>
      <c r="C63" t="s">
        <v>374</v>
      </c>
      <c r="D63" s="10" t="s">
        <v>179</v>
      </c>
      <c r="E63">
        <f>IFERROR(VALUE(JarsPlusPlus_1[[#This Row],[Water Added (mL)]]), 0)</f>
        <v>0</v>
      </c>
      <c r="F63" t="s">
        <v>233</v>
      </c>
      <c r="G63" t="s">
        <v>685</v>
      </c>
      <c r="H63">
        <f>IFERROR(VALUE(JarsPlusPlus_1[[#This Row],[Fertilizer Added (g)]]), 0)</f>
        <v>0.3</v>
      </c>
      <c r="I63" t="s">
        <v>14</v>
      </c>
      <c r="J63" t="s">
        <v>14</v>
      </c>
      <c r="N63" s="17" t="str" cm="1">
        <f t="array" aca="1" ref="N63" ca="1">_xlfn.LET(_xlpm.value, OFFSET(INDIRECT(ADDRESS(ROW(), COLUMN())), 0, -2), IF(_xlpm.value="", "", _xlpm.value))</f>
        <v/>
      </c>
      <c r="O63" s="17" t="str" cm="1">
        <f t="array" aca="1" ref="O63" ca="1">_xlfn.LET(_xlpm.value, OFFSET(INDIRECT(ADDRESS(ROW(), COLUMN())), 0, -2), IF(_xlpm.value="", "", _xlpm.value))</f>
        <v/>
      </c>
      <c r="P6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3" t="str" cm="1">
        <f t="array" aca="1" ref="T63" ca="1">_xlfn.LET(_xlpm.value, OFFSET(INDIRECT(ADDRESS(ROW(),COLUMN())),0,-2), IF(_xlpm.value="","",_xlpm.value))</f>
        <v/>
      </c>
      <c r="U63" t="str" cm="1">
        <f t="array" aca="1" ref="U63" ca="1">_xlfn.LET(_xlpm.value, OFFSET(INDIRECT(ADDRESS(ROW(),COLUMN())),0,-2), IF(_xlpm.value="","",_xlpm.value))</f>
        <v/>
      </c>
      <c r="V63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4" spans="1:22">
      <c r="A64" t="s">
        <v>491</v>
      </c>
      <c r="B64" t="s">
        <v>678</v>
      </c>
      <c r="C64" t="s">
        <v>374</v>
      </c>
      <c r="D64" s="10" t="s">
        <v>179</v>
      </c>
      <c r="E64">
        <f>IFERROR(VALUE(JarsPlusPlus_1[[#This Row],[Water Added (mL)]]), 0)</f>
        <v>0</v>
      </c>
      <c r="F64" t="s">
        <v>233</v>
      </c>
      <c r="G64" t="s">
        <v>689</v>
      </c>
      <c r="H64">
        <f>IFERROR(VALUE(JarsPlusPlus_1[[#This Row],[Fertilizer Added (g)]]), 0)</f>
        <v>0.34</v>
      </c>
      <c r="I64" t="s">
        <v>14</v>
      </c>
      <c r="J64" t="s">
        <v>14</v>
      </c>
      <c r="N64" s="17" t="str" cm="1">
        <f t="array" aca="1" ref="N64" ca="1">_xlfn.LET(_xlpm.value, OFFSET(INDIRECT(ADDRESS(ROW(), COLUMN())), 0, -2), IF(_xlpm.value="", "", _xlpm.value))</f>
        <v/>
      </c>
      <c r="O64" s="17" t="str" cm="1">
        <f t="array" aca="1" ref="O64" ca="1">_xlfn.LET(_xlpm.value, OFFSET(INDIRECT(ADDRESS(ROW(), COLUMN())), 0, -2), IF(_xlpm.value="", "", _xlpm.value))</f>
        <v/>
      </c>
      <c r="P6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4" t="str" cm="1">
        <f t="array" aca="1" ref="T64" ca="1">_xlfn.LET(_xlpm.value, OFFSET(INDIRECT(ADDRESS(ROW(),COLUMN())),0,-2), IF(_xlpm.value="","",_xlpm.value))</f>
        <v/>
      </c>
      <c r="U64" t="str" cm="1">
        <f t="array" aca="1" ref="U64" ca="1">_xlfn.LET(_xlpm.value, OFFSET(INDIRECT(ADDRESS(ROW(),COLUMN())),0,-2), IF(_xlpm.value="","",_xlpm.value))</f>
        <v/>
      </c>
      <c r="V64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5" spans="1:22">
      <c r="A65" t="s">
        <v>476</v>
      </c>
      <c r="B65" t="s">
        <v>678</v>
      </c>
      <c r="C65" t="s">
        <v>374</v>
      </c>
      <c r="D65" s="10" t="s">
        <v>179</v>
      </c>
      <c r="E65">
        <f>IFERROR(VALUE(JarsPlusPlus_1[[#This Row],[Water Added (mL)]]), 0)</f>
        <v>0</v>
      </c>
      <c r="F65" t="s">
        <v>233</v>
      </c>
      <c r="G65" t="s">
        <v>690</v>
      </c>
      <c r="H65">
        <f>IFERROR(VALUE(JarsPlusPlus_1[[#This Row],[Fertilizer Added (g)]]), 0)</f>
        <v>0.33</v>
      </c>
      <c r="I65" t="s">
        <v>14</v>
      </c>
      <c r="J65" t="s">
        <v>14</v>
      </c>
      <c r="N65" s="17" t="str" cm="1">
        <f t="array" aca="1" ref="N65" ca="1">_xlfn.LET(_xlpm.value, OFFSET(INDIRECT(ADDRESS(ROW(), COLUMN())), 0, -2), IF(_xlpm.value="", "", _xlpm.value))</f>
        <v/>
      </c>
      <c r="O65" s="17" t="str" cm="1">
        <f t="array" aca="1" ref="O65" ca="1">_xlfn.LET(_xlpm.value, OFFSET(INDIRECT(ADDRESS(ROW(), COLUMN())), 0, -2), IF(_xlpm.value="", "", _xlpm.value))</f>
        <v/>
      </c>
      <c r="P6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5" t="str" cm="1">
        <f t="array" aca="1" ref="T65" ca="1">_xlfn.LET(_xlpm.value, OFFSET(INDIRECT(ADDRESS(ROW(),COLUMN())),0,-2), IF(_xlpm.value="","",_xlpm.value))</f>
        <v/>
      </c>
      <c r="U65" t="str" cm="1">
        <f t="array" aca="1" ref="U65" ca="1">_xlfn.LET(_xlpm.value, OFFSET(INDIRECT(ADDRESS(ROW(),COLUMN())),0,-2), IF(_xlpm.value="","",_xlpm.value))</f>
        <v/>
      </c>
      <c r="V65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6" spans="1:22">
      <c r="A66" s="10" t="s">
        <v>495</v>
      </c>
      <c r="B66" s="10" t="s">
        <v>691</v>
      </c>
      <c r="C66" t="s">
        <v>374</v>
      </c>
      <c r="D66" s="10" t="s">
        <v>179</v>
      </c>
      <c r="E66" s="17">
        <f>IFERROR(VALUE(JarsPlusPlus_1[[#This Row],[Water Added (mL)]]), 0)</f>
        <v>0</v>
      </c>
      <c r="F66" t="s">
        <v>233</v>
      </c>
      <c r="G66" s="10" t="s">
        <v>692</v>
      </c>
      <c r="H66" s="17">
        <f>IFERROR(VALUE(JarsPlusPlus_1[[#This Row],[Fertilizer Added (g)]]), 0)</f>
        <v>0.37</v>
      </c>
      <c r="I66" s="10" t="s">
        <v>372</v>
      </c>
      <c r="J66" s="10" t="s">
        <v>693</v>
      </c>
      <c r="N66" s="17" t="str" cm="1">
        <f t="array" aca="1" ref="N66" ca="1">_xlfn.LET(_xlpm.value, OFFSET(INDIRECT(ADDRESS(ROW(), COLUMN())), 0, -2), IF(_xlpm.value="", "", _xlpm.value))</f>
        <v/>
      </c>
      <c r="O66" s="17" t="str" cm="1">
        <f t="array" aca="1" ref="O66" ca="1">_xlfn.LET(_xlpm.value, OFFSET(INDIRECT(ADDRESS(ROW(), COLUMN())), 0, -2), IF(_xlpm.value="", "", _xlpm.value))</f>
        <v/>
      </c>
      <c r="P6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6" t="str" cm="1">
        <f t="array" aca="1" ref="T66" ca="1">_xlfn.LET(_xlpm.value, OFFSET(INDIRECT(ADDRESS(ROW(),COLUMN())),0,-2), IF(_xlpm.value="","",_xlpm.value))</f>
        <v/>
      </c>
      <c r="U66" t="str" cm="1">
        <f t="array" aca="1" ref="U66" ca="1">_xlfn.LET(_xlpm.value, OFFSET(INDIRECT(ADDRESS(ROW(),COLUMN())),0,-2), IF(_xlpm.value="","",_xlpm.value))</f>
        <v/>
      </c>
      <c r="V66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7" spans="1:22">
      <c r="A67" s="10" t="s">
        <v>503</v>
      </c>
      <c r="B67" s="10" t="s">
        <v>691</v>
      </c>
      <c r="C67" t="s">
        <v>374</v>
      </c>
      <c r="D67" s="10" t="s">
        <v>179</v>
      </c>
      <c r="E67" s="17">
        <f>IFERROR(VALUE(JarsPlusPlus_1[[#This Row],[Water Added (mL)]]), 0)</f>
        <v>0</v>
      </c>
      <c r="F67" t="s">
        <v>233</v>
      </c>
      <c r="G67" s="10" t="s">
        <v>694</v>
      </c>
      <c r="H67" s="17">
        <f>IFERROR(VALUE(JarsPlusPlus_1[[#This Row],[Fertilizer Added (g)]]), 0)</f>
        <v>0.45</v>
      </c>
      <c r="I67" t="s">
        <v>14</v>
      </c>
      <c r="J67" t="s">
        <v>14</v>
      </c>
      <c r="N67" s="17" t="str" cm="1">
        <f t="array" aca="1" ref="N67" ca="1">_xlfn.LET(_xlpm.value, OFFSET(INDIRECT(ADDRESS(ROW(), COLUMN())), 0, -2), IF(_xlpm.value="", "", _xlpm.value))</f>
        <v/>
      </c>
      <c r="O67" s="17" t="str" cm="1">
        <f t="array" aca="1" ref="O67" ca="1">_xlfn.LET(_xlpm.value, OFFSET(INDIRECT(ADDRESS(ROW(), COLUMN())), 0, -2), IF(_xlpm.value="", "", _xlpm.value))</f>
        <v/>
      </c>
      <c r="P6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7" t="str" cm="1">
        <f t="array" aca="1" ref="T67" ca="1">_xlfn.LET(_xlpm.value, OFFSET(INDIRECT(ADDRESS(ROW(),COLUMN())),0,-2), IF(_xlpm.value="","",_xlpm.value))</f>
        <v/>
      </c>
      <c r="U67" t="str" cm="1">
        <f t="array" aca="1" ref="U67" ca="1">_xlfn.LET(_xlpm.value, OFFSET(INDIRECT(ADDRESS(ROW(),COLUMN())),0,-2), IF(_xlpm.value="","",_xlpm.value))</f>
        <v/>
      </c>
      <c r="V6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8" spans="1:22">
      <c r="A68" s="10" t="s">
        <v>463</v>
      </c>
      <c r="B68" s="10" t="s">
        <v>691</v>
      </c>
      <c r="C68" t="s">
        <v>374</v>
      </c>
      <c r="D68" s="10" t="s">
        <v>179</v>
      </c>
      <c r="E68" s="17">
        <f>IFERROR(VALUE(JarsPlusPlus_1[[#This Row],[Water Added (mL)]]), 0)</f>
        <v>0</v>
      </c>
      <c r="F68" t="s">
        <v>233</v>
      </c>
      <c r="G68" s="10" t="s">
        <v>695</v>
      </c>
      <c r="H68" s="17">
        <f>IFERROR(VALUE(JarsPlusPlus_1[[#This Row],[Fertilizer Added (g)]]), 0)</f>
        <v>0.41</v>
      </c>
      <c r="I68" t="s">
        <v>14</v>
      </c>
      <c r="J68" t="s">
        <v>14</v>
      </c>
      <c r="N68" s="17" t="str" cm="1">
        <f t="array" aca="1" ref="N68" ca="1">_xlfn.LET(_xlpm.value, OFFSET(INDIRECT(ADDRESS(ROW(), COLUMN())), 0, -2), IF(_xlpm.value="", "", _xlpm.value))</f>
        <v/>
      </c>
      <c r="O68" s="17" t="str" cm="1">
        <f t="array" aca="1" ref="O68" ca="1">_xlfn.LET(_xlpm.value, OFFSET(INDIRECT(ADDRESS(ROW(), COLUMN())), 0, -2), IF(_xlpm.value="", "", _xlpm.value))</f>
        <v/>
      </c>
      <c r="P6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8" t="str" cm="1">
        <f t="array" aca="1" ref="T68" ca="1">_xlfn.LET(_xlpm.value, OFFSET(INDIRECT(ADDRESS(ROW(),COLUMN())),0,-2), IF(_xlpm.value="","",_xlpm.value))</f>
        <v/>
      </c>
      <c r="U68" t="str" cm="1">
        <f t="array" aca="1" ref="U68" ca="1">_xlfn.LET(_xlpm.value, OFFSET(INDIRECT(ADDRESS(ROW(),COLUMN())),0,-2), IF(_xlpm.value="","",_xlpm.value))</f>
        <v/>
      </c>
      <c r="V68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69" spans="1:22">
      <c r="A69" s="10" t="s">
        <v>472</v>
      </c>
      <c r="B69" s="10" t="s">
        <v>691</v>
      </c>
      <c r="C69" t="s">
        <v>374</v>
      </c>
      <c r="D69" s="10" t="s">
        <v>179</v>
      </c>
      <c r="E69" s="17">
        <f>IFERROR(VALUE(JarsPlusPlus_1[[#This Row],[Water Added (mL)]]), 0)</f>
        <v>0</v>
      </c>
      <c r="F69" t="s">
        <v>233</v>
      </c>
      <c r="G69" s="10" t="s">
        <v>696</v>
      </c>
      <c r="H69" s="17">
        <f>IFERROR(VALUE(JarsPlusPlus_1[[#This Row],[Fertilizer Added (g)]]), 0)</f>
        <v>0.38</v>
      </c>
      <c r="I69" t="s">
        <v>14</v>
      </c>
      <c r="J69" t="s">
        <v>14</v>
      </c>
      <c r="N69" s="17" t="str" cm="1">
        <f t="array" aca="1" ref="N69" ca="1">_xlfn.LET(_xlpm.value, OFFSET(INDIRECT(ADDRESS(ROW(), COLUMN())), 0, -2), IF(_xlpm.value="", "", _xlpm.value))</f>
        <v/>
      </c>
      <c r="O69" s="17" t="str" cm="1">
        <f t="array" aca="1" ref="O69" ca="1">_xlfn.LET(_xlpm.value, OFFSET(INDIRECT(ADDRESS(ROW(), COLUMN())), 0, -2), IF(_xlpm.value="", "", _xlpm.value))</f>
        <v/>
      </c>
      <c r="P6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69" t="str" cm="1">
        <f t="array" aca="1" ref="T69" ca="1">_xlfn.LET(_xlpm.value, OFFSET(INDIRECT(ADDRESS(ROW(),COLUMN())),0,-2), IF(_xlpm.value="","",_xlpm.value))</f>
        <v/>
      </c>
      <c r="U69" t="str" cm="1">
        <f t="array" aca="1" ref="U69" ca="1">_xlfn.LET(_xlpm.value, OFFSET(INDIRECT(ADDRESS(ROW(),COLUMN())),0,-2), IF(_xlpm.value="","",_xlpm.value))</f>
        <v/>
      </c>
      <c r="V69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0" spans="1:22">
      <c r="A70" s="10" t="s">
        <v>476</v>
      </c>
      <c r="B70" s="10" t="s">
        <v>691</v>
      </c>
      <c r="C70" t="s">
        <v>374</v>
      </c>
      <c r="D70" s="10" t="s">
        <v>179</v>
      </c>
      <c r="E70" s="17">
        <f>IFERROR(VALUE(JarsPlusPlus_1[[#This Row],[Water Added (mL)]]), 0)</f>
        <v>0</v>
      </c>
      <c r="F70" t="s">
        <v>233</v>
      </c>
      <c r="G70" s="10" t="s">
        <v>692</v>
      </c>
      <c r="H70" s="17">
        <f>IFERROR(VALUE(JarsPlusPlus_1[[#This Row],[Fertilizer Added (g)]]), 0)</f>
        <v>0.37</v>
      </c>
      <c r="I70" t="s">
        <v>14</v>
      </c>
      <c r="J70" t="s">
        <v>14</v>
      </c>
      <c r="N70" s="17" t="str" cm="1">
        <f t="array" aca="1" ref="N70" ca="1">_xlfn.LET(_xlpm.value, OFFSET(INDIRECT(ADDRESS(ROW(), COLUMN())), 0, -2), IF(_xlpm.value="", "", _xlpm.value))</f>
        <v/>
      </c>
      <c r="O70" s="17" t="str" cm="1">
        <f t="array" aca="1" ref="O70" ca="1">_xlfn.LET(_xlpm.value, OFFSET(INDIRECT(ADDRESS(ROW(), COLUMN())), 0, -2), IF(_xlpm.value="", "", _xlpm.value))</f>
        <v/>
      </c>
      <c r="P7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0" t="str" cm="1">
        <f t="array" aca="1" ref="T70" ca="1">_xlfn.LET(_xlpm.value, OFFSET(INDIRECT(ADDRESS(ROW(),COLUMN())),0,-2), IF(_xlpm.value="","",_xlpm.value))</f>
        <v/>
      </c>
      <c r="U70" t="str" cm="1">
        <f t="array" aca="1" ref="U70" ca="1">_xlfn.LET(_xlpm.value, OFFSET(INDIRECT(ADDRESS(ROW(),COLUMN())),0,-2), IF(_xlpm.value="","",_xlpm.value))</f>
        <v/>
      </c>
      <c r="V70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1" spans="1:22">
      <c r="A71" s="10" t="s">
        <v>491</v>
      </c>
      <c r="B71" s="10" t="s">
        <v>691</v>
      </c>
      <c r="C71" t="s">
        <v>374</v>
      </c>
      <c r="D71" s="10" t="s">
        <v>179</v>
      </c>
      <c r="E71" s="17">
        <f>IFERROR(VALUE(JarsPlusPlus_1[[#This Row],[Water Added (mL)]]), 0)</f>
        <v>0</v>
      </c>
      <c r="F71" t="s">
        <v>233</v>
      </c>
      <c r="G71" s="10" t="s">
        <v>685</v>
      </c>
      <c r="H71" s="17">
        <f>IFERROR(VALUE(JarsPlusPlus_1[[#This Row],[Fertilizer Added (g)]]), 0)</f>
        <v>0.3</v>
      </c>
      <c r="I71" t="s">
        <v>14</v>
      </c>
      <c r="J71" t="s">
        <v>14</v>
      </c>
      <c r="N71" s="17" t="str" cm="1">
        <f t="array" aca="1" ref="N71" ca="1">_xlfn.LET(_xlpm.value, OFFSET(INDIRECT(ADDRESS(ROW(), COLUMN())), 0, -2), IF(_xlpm.value="", "", _xlpm.value))</f>
        <v/>
      </c>
      <c r="O71" s="17" t="str" cm="1">
        <f t="array" aca="1" ref="O71" ca="1">_xlfn.LET(_xlpm.value, OFFSET(INDIRECT(ADDRESS(ROW(), COLUMN())), 0, -2), IF(_xlpm.value="", "", _xlpm.value))</f>
        <v/>
      </c>
      <c r="P7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1" t="str" cm="1">
        <f t="array" aca="1" ref="T71" ca="1">_xlfn.LET(_xlpm.value, OFFSET(INDIRECT(ADDRESS(ROW(),COLUMN())),0,-2), IF(_xlpm.value="","",_xlpm.value))</f>
        <v/>
      </c>
      <c r="U71" t="str" cm="1">
        <f t="array" aca="1" ref="U71" ca="1">_xlfn.LET(_xlpm.value, OFFSET(INDIRECT(ADDRESS(ROW(),COLUMN())),0,-2), IF(_xlpm.value="","",_xlpm.value))</f>
        <v/>
      </c>
      <c r="V71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2" spans="1:22">
      <c r="A72" s="10" t="s">
        <v>498</v>
      </c>
      <c r="B72" s="10" t="s">
        <v>691</v>
      </c>
      <c r="C72" t="s">
        <v>374</v>
      </c>
      <c r="D72" s="10" t="s">
        <v>179</v>
      </c>
      <c r="E72" s="17">
        <f>IFERROR(VALUE(JarsPlusPlus_1[[#This Row],[Water Added (mL)]]), 0)</f>
        <v>0</v>
      </c>
      <c r="F72" t="s">
        <v>233</v>
      </c>
      <c r="G72" s="10" t="s">
        <v>684</v>
      </c>
      <c r="H72" s="17">
        <f>IFERROR(VALUE(JarsPlusPlus_1[[#This Row],[Fertilizer Added (g)]]), 0)</f>
        <v>0.28000000000000003</v>
      </c>
      <c r="I72" t="s">
        <v>14</v>
      </c>
      <c r="J72" t="s">
        <v>14</v>
      </c>
      <c r="N72" s="17" t="str" cm="1">
        <f t="array" aca="1" ref="N72" ca="1">_xlfn.LET(_xlpm.value, OFFSET(INDIRECT(ADDRESS(ROW(), COLUMN())), 0, -2), IF(_xlpm.value="", "", _xlpm.value))</f>
        <v/>
      </c>
      <c r="O72" s="17" t="str" cm="1">
        <f t="array" aca="1" ref="O72" ca="1">_xlfn.LET(_xlpm.value, OFFSET(INDIRECT(ADDRESS(ROW(), COLUMN())), 0, -2), IF(_xlpm.value="", "", _xlpm.value))</f>
        <v/>
      </c>
      <c r="P7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2" t="str" cm="1">
        <f t="array" aca="1" ref="T72" ca="1">_xlfn.LET(_xlpm.value, OFFSET(INDIRECT(ADDRESS(ROW(),COLUMN())),0,-2), IF(_xlpm.value="","",_xlpm.value))</f>
        <v/>
      </c>
      <c r="U72" t="str" cm="1">
        <f t="array" aca="1" ref="U72" ca="1">_xlfn.LET(_xlpm.value, OFFSET(INDIRECT(ADDRESS(ROW(),COLUMN())),0,-2), IF(_xlpm.value="","",_xlpm.value))</f>
        <v/>
      </c>
      <c r="V72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3" spans="1:22">
      <c r="A73" s="10" t="s">
        <v>468</v>
      </c>
      <c r="B73" s="10" t="s">
        <v>697</v>
      </c>
      <c r="C73" t="s">
        <v>374</v>
      </c>
      <c r="D73" s="10" t="s">
        <v>179</v>
      </c>
      <c r="E73" s="17">
        <f>IFERROR(VALUE(JarsPlusPlus_1[[#This Row],[Water Added (mL)]]), 0)</f>
        <v>0</v>
      </c>
      <c r="F73" t="s">
        <v>233</v>
      </c>
      <c r="G73" s="10" t="s">
        <v>698</v>
      </c>
      <c r="H73" s="17">
        <f>IFERROR(VALUE(JarsPlusPlus_1[[#This Row],[Fertilizer Added (g)]]), 0)</f>
        <v>0.71</v>
      </c>
      <c r="I73" t="s">
        <v>14</v>
      </c>
      <c r="J73" t="s">
        <v>14</v>
      </c>
      <c r="N73" s="17" t="str" cm="1">
        <f t="array" aca="1" ref="N73" ca="1">_xlfn.LET(_xlpm.value, OFFSET(INDIRECT(ADDRESS(ROW(), COLUMN())), 0, -2), IF(_xlpm.value="", "", _xlpm.value))</f>
        <v/>
      </c>
      <c r="O73" s="17" t="str" cm="1">
        <f t="array" aca="1" ref="O73" ca="1">_xlfn.LET(_xlpm.value, OFFSET(INDIRECT(ADDRESS(ROW(), COLUMN())), 0, -2), IF(_xlpm.value="", "", _xlpm.value))</f>
        <v/>
      </c>
      <c r="P7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3" t="str" cm="1">
        <f t="array" aca="1" ref="T73" ca="1">_xlfn.LET(_xlpm.value, OFFSET(INDIRECT(ADDRESS(ROW(),COLUMN())),0,-2), IF(_xlpm.value="","",_xlpm.value))</f>
        <v/>
      </c>
      <c r="U73" t="str" cm="1">
        <f t="array" aca="1" ref="U73" ca="1">_xlfn.LET(_xlpm.value, OFFSET(INDIRECT(ADDRESS(ROW(),COLUMN())),0,-2), IF(_xlpm.value="","",_xlpm.value))</f>
        <v/>
      </c>
      <c r="V73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4" spans="1:22">
      <c r="A74" s="10" t="s">
        <v>507</v>
      </c>
      <c r="B74" s="10" t="s">
        <v>697</v>
      </c>
      <c r="C74" t="s">
        <v>374</v>
      </c>
      <c r="D74" s="10" t="s">
        <v>179</v>
      </c>
      <c r="E74" s="17">
        <f>IFERROR(VALUE(JarsPlusPlus_1[[#This Row],[Water Added (mL)]]), 0)</f>
        <v>0</v>
      </c>
      <c r="F74" t="s">
        <v>233</v>
      </c>
      <c r="G74" s="10" t="s">
        <v>699</v>
      </c>
      <c r="H74" s="17">
        <f>IFERROR(VALUE(JarsPlusPlus_1[[#This Row],[Fertilizer Added (g)]]), 0)</f>
        <v>0.47</v>
      </c>
      <c r="I74" t="s">
        <v>14</v>
      </c>
      <c r="J74" t="s">
        <v>14</v>
      </c>
      <c r="N74" s="17" t="str" cm="1">
        <f t="array" aca="1" ref="N74" ca="1">_xlfn.LET(_xlpm.value, OFFSET(INDIRECT(ADDRESS(ROW(), COLUMN())), 0, -2), IF(_xlpm.value="", "", _xlpm.value))</f>
        <v/>
      </c>
      <c r="O74" s="17" t="str" cm="1">
        <f t="array" aca="1" ref="O74" ca="1">_xlfn.LET(_xlpm.value, OFFSET(INDIRECT(ADDRESS(ROW(), COLUMN())), 0, -2), IF(_xlpm.value="", "", _xlpm.value))</f>
        <v/>
      </c>
      <c r="P7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4" t="str" cm="1">
        <f t="array" aca="1" ref="T74" ca="1">_xlfn.LET(_xlpm.value, OFFSET(INDIRECT(ADDRESS(ROW(),COLUMN())),0,-2), IF(_xlpm.value="","",_xlpm.value))</f>
        <v/>
      </c>
      <c r="U74" t="str" cm="1">
        <f t="array" aca="1" ref="U74" ca="1">_xlfn.LET(_xlpm.value, OFFSET(INDIRECT(ADDRESS(ROW(),COLUMN())),0,-2), IF(_xlpm.value="","",_xlpm.value))</f>
        <v/>
      </c>
      <c r="V74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5" spans="1:22">
      <c r="A75" s="10" t="s">
        <v>537</v>
      </c>
      <c r="B75" s="10" t="s">
        <v>697</v>
      </c>
      <c r="C75" t="s">
        <v>460</v>
      </c>
      <c r="D75" s="10" t="s">
        <v>327</v>
      </c>
      <c r="E75" s="17">
        <f>IFERROR(VALUE(JarsPlusPlus_1[[#This Row],[Water Added (mL)]]), 0)</f>
        <v>10</v>
      </c>
      <c r="F75" t="s">
        <v>374</v>
      </c>
      <c r="G75" s="10" t="s">
        <v>179</v>
      </c>
      <c r="H75" s="17">
        <f>IFERROR(VALUE(JarsPlusPlus_1[[#This Row],[Fertilizer Added (g)]]), 0)</f>
        <v>0</v>
      </c>
      <c r="I75" t="s">
        <v>14</v>
      </c>
      <c r="J75" t="s">
        <v>14</v>
      </c>
      <c r="N75" s="17" t="str" cm="1">
        <f t="array" aca="1" ref="N75" ca="1">_xlfn.LET(_xlpm.value, OFFSET(INDIRECT(ADDRESS(ROW(), COLUMN())), 0, -2), IF(_xlpm.value="", "", _xlpm.value))</f>
        <v/>
      </c>
      <c r="O75" s="17" t="str" cm="1">
        <f t="array" aca="1" ref="O75" ca="1">_xlfn.LET(_xlpm.value, OFFSET(INDIRECT(ADDRESS(ROW(), COLUMN())), 0, -2), IF(_xlpm.value="", "", _xlpm.value))</f>
        <v/>
      </c>
      <c r="P7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5" t="str" cm="1">
        <f t="array" aca="1" ref="T75" ca="1">_xlfn.LET(_xlpm.value, OFFSET(INDIRECT(ADDRESS(ROW(),COLUMN())),0,-2), IF(_xlpm.value="","",_xlpm.value))</f>
        <v/>
      </c>
      <c r="U75" t="str" cm="1">
        <f t="array" aca="1" ref="U75" ca="1">_xlfn.LET(_xlpm.value, OFFSET(INDIRECT(ADDRESS(ROW(),COLUMN())),0,-2), IF(_xlpm.value="","",_xlpm.value))</f>
        <v/>
      </c>
      <c r="V75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6" spans="1:22">
      <c r="E76" s="17">
        <f>IFERROR(VALUE(JarsPlusPlus_1[[#This Row],[Water Added (mL)]]), 0)</f>
        <v>0</v>
      </c>
      <c r="H76" s="17">
        <f>IFERROR(VALUE(JarsPlusPlus_1[[#This Row],[Fertilizer Added (g)]]), 0)</f>
        <v>0</v>
      </c>
      <c r="N76" s="17" t="str" cm="1">
        <f t="array" aca="1" ref="N76" ca="1">_xlfn.LET(_xlpm.value, OFFSET(INDIRECT(ADDRESS(ROW(), COLUMN())), 0, -2), IF(_xlpm.value="", "", _xlpm.value))</f>
        <v/>
      </c>
      <c r="O76" s="17" t="str" cm="1">
        <f t="array" aca="1" ref="O76" ca="1">_xlfn.LET(_xlpm.value, OFFSET(INDIRECT(ADDRESS(ROW(), COLUMN())), 0, -2), IF(_xlpm.value="", "", _xlpm.value))</f>
        <v/>
      </c>
      <c r="P7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6" t="str" cm="1">
        <f t="array" aca="1" ref="T76" ca="1">_xlfn.LET(_xlpm.value, OFFSET(INDIRECT(ADDRESS(ROW(),COLUMN())),0,-2), IF(_xlpm.value="","",_xlpm.value))</f>
        <v/>
      </c>
      <c r="U76" t="str" cm="1">
        <f t="array" aca="1" ref="U76" ca="1">_xlfn.LET(_xlpm.value, OFFSET(INDIRECT(ADDRESS(ROW(),COLUMN())),0,-2), IF(_xlpm.value="","",_xlpm.value))</f>
        <v/>
      </c>
      <c r="V76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7" spans="1:22">
      <c r="E77" s="17">
        <f>IFERROR(VALUE(JarsPlusPlus_1[[#This Row],[Water Added (mL)]]), 0)</f>
        <v>0</v>
      </c>
      <c r="H77" s="17">
        <f>IFERROR(VALUE(JarsPlusPlus_1[[#This Row],[Fertilizer Added (g)]]), 0)</f>
        <v>0</v>
      </c>
      <c r="N77" s="17" t="str" cm="1">
        <f t="array" aca="1" ref="N77" ca="1">_xlfn.LET(_xlpm.value, OFFSET(INDIRECT(ADDRESS(ROW(), COLUMN())), 0, -2), IF(_xlpm.value="", "", _xlpm.value))</f>
        <v/>
      </c>
      <c r="O77" s="17" t="str" cm="1">
        <f t="array" aca="1" ref="O77" ca="1">_xlfn.LET(_xlpm.value, OFFSET(INDIRECT(ADDRESS(ROW(), COLUMN())), 0, -2), IF(_xlpm.value="", "", _xlpm.value))</f>
        <v/>
      </c>
      <c r="P7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7" t="str" cm="1">
        <f t="array" aca="1" ref="T77" ca="1">_xlfn.LET(_xlpm.value, OFFSET(INDIRECT(ADDRESS(ROW(),COLUMN())),0,-2), IF(_xlpm.value="","",_xlpm.value))</f>
        <v/>
      </c>
      <c r="U77" t="str" cm="1">
        <f t="array" aca="1" ref="U77" ca="1">_xlfn.LET(_xlpm.value, OFFSET(INDIRECT(ADDRESS(ROW(),COLUMN())),0,-2), IF(_xlpm.value="","",_xlpm.value))</f>
        <v/>
      </c>
      <c r="V77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8" spans="1:22">
      <c r="E78" s="17">
        <f>IFERROR(VALUE(JarsPlusPlus_1[[#This Row],[Water Added (mL)]]), 0)</f>
        <v>0</v>
      </c>
      <c r="H78" s="17">
        <f>IFERROR(VALUE(JarsPlusPlus_1[[#This Row],[Fertilizer Added (g)]]), 0)</f>
        <v>0</v>
      </c>
      <c r="N78" s="17" t="str" cm="1">
        <f t="array" aca="1" ref="N78" ca="1">_xlfn.LET(_xlpm.value, OFFSET(INDIRECT(ADDRESS(ROW(), COLUMN())), 0, -2), IF(_xlpm.value="", "", _xlpm.value))</f>
        <v/>
      </c>
      <c r="O78" s="17" t="str" cm="1">
        <f t="array" aca="1" ref="O78" ca="1">_xlfn.LET(_xlpm.value, OFFSET(INDIRECT(ADDRESS(ROW(), COLUMN())), 0, -2), IF(_xlpm.value="", "", _xlpm.value))</f>
        <v/>
      </c>
      <c r="P7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8" t="str" cm="1">
        <f t="array" aca="1" ref="T78" ca="1">_xlfn.LET(_xlpm.value, OFFSET(INDIRECT(ADDRESS(ROW(),COLUMN())),0,-2), IF(_xlpm.value="","",_xlpm.value))</f>
        <v/>
      </c>
      <c r="U78" t="str" cm="1">
        <f t="array" aca="1" ref="U78" ca="1">_xlfn.LET(_xlpm.value, OFFSET(INDIRECT(ADDRESS(ROW(),COLUMN())),0,-2), IF(_xlpm.value="","",_xlpm.value))</f>
        <v/>
      </c>
      <c r="V78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79" spans="1:22">
      <c r="E79" s="17">
        <f>IFERROR(VALUE(JarsPlusPlus_1[[#This Row],[Water Added (mL)]]), 0)</f>
        <v>0</v>
      </c>
      <c r="H79" s="17">
        <f>IFERROR(VALUE(JarsPlusPlus_1[[#This Row],[Fertilizer Added (g)]]), 0)</f>
        <v>0</v>
      </c>
      <c r="N79" s="17" t="str" cm="1">
        <f t="array" aca="1" ref="N79" ca="1">_xlfn.LET(_xlpm.value, OFFSET(INDIRECT(ADDRESS(ROW(), COLUMN())), 0, -2), IF(_xlpm.value="", "", _xlpm.value))</f>
        <v/>
      </c>
      <c r="O79" s="17" t="str" cm="1">
        <f t="array" aca="1" ref="O79" ca="1">_xlfn.LET(_xlpm.value, OFFSET(INDIRECT(ADDRESS(ROW(), COLUMN())), 0, -2), IF(_xlpm.value="", "", _xlpm.value))</f>
        <v/>
      </c>
      <c r="P7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79" t="str" cm="1">
        <f t="array" aca="1" ref="T79" ca="1">_xlfn.LET(_xlpm.value, OFFSET(INDIRECT(ADDRESS(ROW(),COLUMN())),0,-2), IF(_xlpm.value="","",_xlpm.value))</f>
        <v/>
      </c>
      <c r="U79" t="str" cm="1">
        <f t="array" aca="1" ref="U79" ca="1">_xlfn.LET(_xlpm.value, OFFSET(INDIRECT(ADDRESS(ROW(),COLUMN())),0,-2), IF(_xlpm.value="","",_xlpm.value))</f>
        <v/>
      </c>
      <c r="V79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0" spans="1:22">
      <c r="E80" s="17">
        <f>IFERROR(VALUE(JarsPlusPlus_1[[#This Row],[Water Added (mL)]]), 0)</f>
        <v>0</v>
      </c>
      <c r="H80" s="17">
        <f>IFERROR(VALUE(JarsPlusPlus_1[[#This Row],[Fertilizer Added (g)]]), 0)</f>
        <v>0</v>
      </c>
      <c r="N80" s="17" t="str" cm="1">
        <f t="array" aca="1" ref="N80" ca="1">_xlfn.LET(_xlpm.value, OFFSET(INDIRECT(ADDRESS(ROW(), COLUMN())), 0, -2), IF(_xlpm.value="", "", _xlpm.value))</f>
        <v/>
      </c>
      <c r="O80" s="17" t="str" cm="1">
        <f t="array" aca="1" ref="O80" ca="1">_xlfn.LET(_xlpm.value, OFFSET(INDIRECT(ADDRESS(ROW(), COLUMN())), 0, -2), IF(_xlpm.value="", "", _xlpm.value))</f>
        <v/>
      </c>
      <c r="P80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0" t="str" cm="1">
        <f t="array" aca="1" ref="T80" ca="1">_xlfn.LET(_xlpm.value, OFFSET(INDIRECT(ADDRESS(ROW(),COLUMN())),0,-2), IF(_xlpm.value="","",_xlpm.value))</f>
        <v/>
      </c>
      <c r="U80" t="str" cm="1">
        <f t="array" aca="1" ref="U80" ca="1">_xlfn.LET(_xlpm.value, OFFSET(INDIRECT(ADDRESS(ROW(),COLUMN())),0,-2), IF(_xlpm.value="","",_xlpm.value))</f>
        <v/>
      </c>
      <c r="V80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1" spans="5:22">
      <c r="E81" s="17">
        <f>IFERROR(VALUE(JarsPlusPlus_1[[#This Row],[Water Added (mL)]]), 0)</f>
        <v>0</v>
      </c>
      <c r="H81" s="17">
        <f>IFERROR(VALUE(JarsPlusPlus_1[[#This Row],[Fertilizer Added (g)]]), 0)</f>
        <v>0</v>
      </c>
      <c r="N81" s="17" t="str" cm="1">
        <f t="array" aca="1" ref="N81" ca="1">_xlfn.LET(_xlpm.value, OFFSET(INDIRECT(ADDRESS(ROW(), COLUMN())), 0, -2), IF(_xlpm.value="", "", _xlpm.value))</f>
        <v/>
      </c>
      <c r="O81" s="17" t="str" cm="1">
        <f t="array" aca="1" ref="O81" ca="1">_xlfn.LET(_xlpm.value, OFFSET(INDIRECT(ADDRESS(ROW(), COLUMN())), 0, -2), IF(_xlpm.value="", "", _xlpm.value))</f>
        <v/>
      </c>
      <c r="P81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1" t="str" cm="1">
        <f t="array" aca="1" ref="T81" ca="1">_xlfn.LET(_xlpm.value, OFFSET(INDIRECT(ADDRESS(ROW(),COLUMN())),0,-2), IF(_xlpm.value="","",_xlpm.value))</f>
        <v/>
      </c>
      <c r="U81" t="str" cm="1">
        <f t="array" aca="1" ref="U81" ca="1">_xlfn.LET(_xlpm.value, OFFSET(INDIRECT(ADDRESS(ROW(),COLUMN())),0,-2), IF(_xlpm.value="","",_xlpm.value))</f>
        <v/>
      </c>
      <c r="V81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2" spans="5:22">
      <c r="E82" s="17">
        <f>IFERROR(VALUE(JarsPlusPlus_1[[#This Row],[Water Added (mL)]]), 0)</f>
        <v>0</v>
      </c>
      <c r="H82" s="17">
        <f>IFERROR(VALUE(JarsPlusPlus_1[[#This Row],[Fertilizer Added (g)]]), 0)</f>
        <v>0</v>
      </c>
      <c r="N82" s="17" t="str" cm="1">
        <f t="array" aca="1" ref="N82" ca="1">_xlfn.LET(_xlpm.value, OFFSET(INDIRECT(ADDRESS(ROW(), COLUMN())), 0, -2), IF(_xlpm.value="", "", _xlpm.value))</f>
        <v/>
      </c>
      <c r="O82" s="17" t="str" cm="1">
        <f t="array" aca="1" ref="O82" ca="1">_xlfn.LET(_xlpm.value, OFFSET(INDIRECT(ADDRESS(ROW(), COLUMN())), 0, -2), IF(_xlpm.value="", "", _xlpm.value))</f>
        <v/>
      </c>
      <c r="P82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2" t="str" cm="1">
        <f t="array" aca="1" ref="T82" ca="1">_xlfn.LET(_xlpm.value, OFFSET(INDIRECT(ADDRESS(ROW(),COLUMN())),0,-2), IF(_xlpm.value="","",_xlpm.value))</f>
        <v/>
      </c>
      <c r="U82" t="str" cm="1">
        <f t="array" aca="1" ref="U82" ca="1">_xlfn.LET(_xlpm.value, OFFSET(INDIRECT(ADDRESS(ROW(),COLUMN())),0,-2), IF(_xlpm.value="","",_xlpm.value))</f>
        <v/>
      </c>
      <c r="V82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3" spans="5:22">
      <c r="E83" s="17">
        <f>IFERROR(VALUE(JarsPlusPlus_1[[#This Row],[Water Added (mL)]]), 0)</f>
        <v>0</v>
      </c>
      <c r="H83" s="17">
        <f>IFERROR(VALUE(JarsPlusPlus_1[[#This Row],[Fertilizer Added (g)]]), 0)</f>
        <v>0</v>
      </c>
      <c r="N83" s="17" t="str" cm="1">
        <f t="array" aca="1" ref="N83" ca="1">_xlfn.LET(_xlpm.value, OFFSET(INDIRECT(ADDRESS(ROW(), COLUMN())), 0, -2), IF(_xlpm.value="", "", _xlpm.value))</f>
        <v/>
      </c>
      <c r="O83" s="17" t="str" cm="1">
        <f t="array" aca="1" ref="O83" ca="1">_xlfn.LET(_xlpm.value, OFFSET(INDIRECT(ADDRESS(ROW(), COLUMN())), 0, -2), IF(_xlpm.value="", "", _xlpm.value))</f>
        <v/>
      </c>
      <c r="P83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3" t="str" cm="1">
        <f t="array" aca="1" ref="T83" ca="1">_xlfn.LET(_xlpm.value, OFFSET(INDIRECT(ADDRESS(ROW(),COLUMN())),0,-2), IF(_xlpm.value="","",_xlpm.value))</f>
        <v/>
      </c>
      <c r="U83" t="str" cm="1">
        <f t="array" aca="1" ref="U83" ca="1">_xlfn.LET(_xlpm.value, OFFSET(INDIRECT(ADDRESS(ROW(),COLUMN())),0,-2), IF(_xlpm.value="","",_xlpm.value))</f>
        <v/>
      </c>
      <c r="V83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4" spans="5:22">
      <c r="E84" s="17">
        <f>IFERROR(VALUE(JarsPlusPlus_1[[#This Row],[Water Added (mL)]]), 0)</f>
        <v>0</v>
      </c>
      <c r="H84" s="17">
        <f>IFERROR(VALUE(JarsPlusPlus_1[[#This Row],[Fertilizer Added (g)]]), 0)</f>
        <v>0</v>
      </c>
      <c r="N84" s="17" t="str" cm="1">
        <f t="array" aca="1" ref="N84" ca="1">_xlfn.LET(_xlpm.value, OFFSET(INDIRECT(ADDRESS(ROW(), COLUMN())), 0, -2), IF(_xlpm.value="", "", _xlpm.value))</f>
        <v/>
      </c>
      <c r="O84" s="17" t="str" cm="1">
        <f t="array" aca="1" ref="O84" ca="1">_xlfn.LET(_xlpm.value, OFFSET(INDIRECT(ADDRESS(ROW(), COLUMN())), 0, -2), IF(_xlpm.value="", "", _xlpm.value))</f>
        <v/>
      </c>
      <c r="P84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4" t="str" cm="1">
        <f t="array" aca="1" ref="T84" ca="1">_xlfn.LET(_xlpm.value, OFFSET(INDIRECT(ADDRESS(ROW(),COLUMN())),0,-2), IF(_xlpm.value="","",_xlpm.value))</f>
        <v/>
      </c>
      <c r="U84" t="str" cm="1">
        <f t="array" aca="1" ref="U84" ca="1">_xlfn.LET(_xlpm.value, OFFSET(INDIRECT(ADDRESS(ROW(),COLUMN())),0,-2), IF(_xlpm.value="","",_xlpm.value))</f>
        <v/>
      </c>
      <c r="V84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5" spans="5:22">
      <c r="E85" s="17">
        <f>IFERROR(VALUE(JarsPlusPlus_1[[#This Row],[Water Added (mL)]]), 0)</f>
        <v>0</v>
      </c>
      <c r="H85" s="17">
        <f>IFERROR(VALUE(JarsPlusPlus_1[[#This Row],[Fertilizer Added (g)]]), 0)</f>
        <v>0</v>
      </c>
      <c r="N85" s="17" t="str" cm="1">
        <f t="array" aca="1" ref="N85" ca="1">_xlfn.LET(_xlpm.value, OFFSET(INDIRECT(ADDRESS(ROW(), COLUMN())), 0, -2), IF(_xlpm.value="", "", _xlpm.value))</f>
        <v/>
      </c>
      <c r="O85" s="17" t="str" cm="1">
        <f t="array" aca="1" ref="O85" ca="1">_xlfn.LET(_xlpm.value, OFFSET(INDIRECT(ADDRESS(ROW(), COLUMN())), 0, -2), IF(_xlpm.value="", "", _xlpm.value))</f>
        <v/>
      </c>
      <c r="P85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5" t="str" cm="1">
        <f t="array" aca="1" ref="T85" ca="1">_xlfn.LET(_xlpm.value, OFFSET(INDIRECT(ADDRESS(ROW(),COLUMN())),0,-2), IF(_xlpm.value="","",_xlpm.value))</f>
        <v/>
      </c>
      <c r="U85" t="str" cm="1">
        <f t="array" aca="1" ref="U85" ca="1">_xlfn.LET(_xlpm.value, OFFSET(INDIRECT(ADDRESS(ROW(),COLUMN())),0,-2), IF(_xlpm.value="","",_xlpm.value))</f>
        <v/>
      </c>
      <c r="V85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6" spans="5:22">
      <c r="E86" s="17">
        <f>IFERROR(VALUE(JarsPlusPlus_1[[#This Row],[Water Added (mL)]]), 0)</f>
        <v>0</v>
      </c>
      <c r="H86" s="17">
        <f>IFERROR(VALUE(JarsPlusPlus_1[[#This Row],[Fertilizer Added (g)]]), 0)</f>
        <v>0</v>
      </c>
      <c r="N86" s="17" t="str" cm="1">
        <f t="array" aca="1" ref="N86" ca="1">_xlfn.LET(_xlpm.value, OFFSET(INDIRECT(ADDRESS(ROW(), COLUMN())), 0, -2), IF(_xlpm.value="", "", _xlpm.value))</f>
        <v/>
      </c>
      <c r="O86" s="17" t="str" cm="1">
        <f t="array" aca="1" ref="O86" ca="1">_xlfn.LET(_xlpm.value, OFFSET(INDIRECT(ADDRESS(ROW(), COLUMN())), 0, -2), IF(_xlpm.value="", "", _xlpm.value))</f>
        <v/>
      </c>
      <c r="P86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6" t="str" cm="1">
        <f t="array" aca="1" ref="T86" ca="1">_xlfn.LET(_xlpm.value, OFFSET(INDIRECT(ADDRESS(ROW(),COLUMN())),0,-2), IF(_xlpm.value="","",_xlpm.value))</f>
        <v/>
      </c>
      <c r="U86" t="str" cm="1">
        <f t="array" aca="1" ref="U86" ca="1">_xlfn.LET(_xlpm.value, OFFSET(INDIRECT(ADDRESS(ROW(),COLUMN())),0,-2), IF(_xlpm.value="","",_xlpm.value))</f>
        <v/>
      </c>
      <c r="V86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7" spans="5:22">
      <c r="E87" s="17">
        <f>IFERROR(VALUE(JarsPlusPlus_1[[#This Row],[Water Added (mL)]]), 0)</f>
        <v>0</v>
      </c>
      <c r="H87" s="17">
        <f>IFERROR(VALUE(JarsPlusPlus_1[[#This Row],[Fertilizer Added (g)]]), 0)</f>
        <v>0</v>
      </c>
      <c r="N87" s="17" t="str" cm="1">
        <f t="array" aca="1" ref="N87" ca="1">_xlfn.LET(_xlpm.value, OFFSET(INDIRECT(ADDRESS(ROW(), COLUMN())), 0, -2), IF(_xlpm.value="", "", _xlpm.value))</f>
        <v/>
      </c>
      <c r="O87" s="17" t="str" cm="1">
        <f t="array" aca="1" ref="O87" ca="1">_xlfn.LET(_xlpm.value, OFFSET(INDIRECT(ADDRESS(ROW(), COLUMN())), 0, -2), IF(_xlpm.value="", "", _xlpm.value))</f>
        <v/>
      </c>
      <c r="P87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7" t="str" cm="1">
        <f t="array" aca="1" ref="T87" ca="1">_xlfn.LET(_xlpm.value, OFFSET(INDIRECT(ADDRESS(ROW(),COLUMN())),0,-2), IF(_xlpm.value="","",_xlpm.value))</f>
        <v/>
      </c>
      <c r="U87" t="str" cm="1">
        <f t="array" aca="1" ref="U87" ca="1">_xlfn.LET(_xlpm.value, OFFSET(INDIRECT(ADDRESS(ROW(),COLUMN())),0,-2), IF(_xlpm.value="","",_xlpm.value))</f>
        <v/>
      </c>
      <c r="V87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8" spans="5:22">
      <c r="E88" s="17">
        <f>IFERROR(VALUE(JarsPlusPlus_1[[#This Row],[Water Added (mL)]]), 0)</f>
        <v>0</v>
      </c>
      <c r="H88" s="17">
        <f>IFERROR(VALUE(JarsPlusPlus_1[[#This Row],[Fertilizer Added (g)]]), 0)</f>
        <v>0</v>
      </c>
      <c r="N88" s="17" t="str" cm="1">
        <f t="array" aca="1" ref="N88" ca="1">_xlfn.LET(_xlpm.value, OFFSET(INDIRECT(ADDRESS(ROW(), COLUMN())), 0, -2), IF(_xlpm.value="", "", _xlpm.value))</f>
        <v/>
      </c>
      <c r="O88" s="17" t="str" cm="1">
        <f t="array" aca="1" ref="O88" ca="1">_xlfn.LET(_xlpm.value, OFFSET(INDIRECT(ADDRESS(ROW(), COLUMN())), 0, -2), IF(_xlpm.value="", "", _xlpm.value))</f>
        <v/>
      </c>
      <c r="P88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8" t="str" cm="1">
        <f t="array" aca="1" ref="T88" ca="1">_xlfn.LET(_xlpm.value, OFFSET(INDIRECT(ADDRESS(ROW(),COLUMN())),0,-2), IF(_xlpm.value="","",_xlpm.value))</f>
        <v/>
      </c>
      <c r="U88" t="str" cm="1">
        <f t="array" aca="1" ref="U88" ca="1">_xlfn.LET(_xlpm.value, OFFSET(INDIRECT(ADDRESS(ROW(),COLUMN())),0,-2), IF(_xlpm.value="","",_xlpm.value))</f>
        <v/>
      </c>
      <c r="V88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  <row r="89" spans="5:22">
      <c r="E89" s="17">
        <f>IFERROR(VALUE(JarsPlusPlus_1[[#This Row],[Water Added (mL)]]), 0)</f>
        <v>0</v>
      </c>
      <c r="H89" s="17">
        <f>IFERROR(VALUE(JarsPlusPlus_1[[#This Row],[Fertilizer Added (g)]]), 0)</f>
        <v>0</v>
      </c>
      <c r="N89" s="17" t="str" cm="1">
        <f t="array" aca="1" ref="N89" ca="1">_xlfn.LET(_xlpm.value, OFFSET(INDIRECT(ADDRESS(ROW(), COLUMN())), 0, -2), IF(_xlpm.value="", "", _xlpm.value))</f>
        <v/>
      </c>
      <c r="O89" s="17" t="str" cm="1">
        <f t="array" aca="1" ref="O89" ca="1">_xlfn.LET(_xlpm.value, OFFSET(INDIRECT(ADDRESS(ROW(), COLUMN())), 0, -2), IF(_xlpm.value="", "", _xlpm.value))</f>
        <v/>
      </c>
      <c r="P89" s="17" t="str">
        <f ca="1">IF(JarsPlusPlus_4[[#This Row],[Jar]]="", "", IFERROR(SUMIFS(JarsPlusPlus_1[V:Water Added (mL)], JarsPlusPlus_1[Jar], JarsPlusPlus_4[[#This Row],[Jar]], JarsPlusPlus_1[Water Type], JarsPlusPlus_4[[#This Row],[Water Type]]), " "))</f>
        <v/>
      </c>
      <c r="T89" t="str" cm="1">
        <f t="array" aca="1" ref="T89" ca="1">_xlfn.LET(_xlpm.value, OFFSET(INDIRECT(ADDRESS(ROW(),COLUMN())),0,-2), IF(_xlpm.value="","",_xlpm.value))</f>
        <v/>
      </c>
      <c r="U89" t="str" cm="1">
        <f t="array" aca="1" ref="U89" ca="1">_xlfn.LET(_xlpm.value, OFFSET(INDIRECT(ADDRESS(ROW(),COLUMN())),0,-2), IF(_xlpm.value="","",_xlpm.value))</f>
        <v/>
      </c>
      <c r="V89" s="17" t="str">
        <f ca="1">IF(JarsPlusPlus_2[[#This Row],[Jar]]="", "", IFERROR(SUMIFS(JarsPlusPlus_1[V:Fertilizer Added (g)], JarsPlusPlus_1[Jar], JarsPlusPlus_2[[#This Row],[Jar]], JarsPlusPlus_1[Fertilizer], JarsPlusPlus_2[[#This Row],[Fertilizer]]), " "))</f>
        <v/>
      </c>
    </row>
  </sheetData>
  <conditionalFormatting sqref="A11:AV99999">
    <cfRule type="expression" dxfId="138" priority="2">
      <formula>AND(A11="", $A11&lt;&gt;"", A$10&lt;&gt;"")</formula>
    </cfRule>
  </conditionalFormatting>
  <conditionalFormatting sqref="A11:AV99999">
    <cfRule type="expression" dxfId="137" priority="1">
      <formula>_xlfn.ISFORMULA(A11)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10C63-0CD7-475D-A561-2CF7E9834DDA}">
  <dimension ref="A9:J44"/>
  <sheetViews>
    <sheetView workbookViewId="0">
      <pane xSplit="1" topLeftCell="D34" activePane="topRight" state="frozen"/>
      <selection pane="topRight" activeCell="D8" sqref="D8"/>
    </sheetView>
  </sheetViews>
  <sheetFormatPr defaultRowHeight="15"/>
  <cols>
    <col min="1" max="1" width="8" style="1" customWidth="1"/>
    <col min="2" max="2" width="14.28515625" style="1" customWidth="1"/>
    <col min="3" max="3" width="13.28515625" style="1" customWidth="1"/>
    <col min="4" max="4" width="17.28515625" style="1" customWidth="1"/>
    <col min="5" max="5" width="26" style="1" customWidth="1"/>
    <col min="6" max="6" width="20.7109375" style="1" customWidth="1"/>
    <col min="7" max="7" width="14.42578125" style="1" customWidth="1"/>
    <col min="8" max="8" width="10.28515625" style="1" customWidth="1"/>
    <col min="9" max="9" width="23.42578125" style="1" customWidth="1"/>
    <col min="10" max="10" width="85" style="1" customWidth="1"/>
    <col min="11" max="16384" width="9.140625" style="1"/>
  </cols>
  <sheetData>
    <row r="9" spans="1:10">
      <c r="B9" s="1" t="s">
        <v>336</v>
      </c>
    </row>
    <row r="10" spans="1:10">
      <c r="A10" s="4" t="s">
        <v>147</v>
      </c>
      <c r="B10" s="4" t="s">
        <v>345</v>
      </c>
      <c r="C10" s="1" t="s">
        <v>571</v>
      </c>
      <c r="D10" s="1" t="s">
        <v>700</v>
      </c>
      <c r="E10" s="1" t="s">
        <v>572</v>
      </c>
      <c r="F10" s="1" t="s">
        <v>701</v>
      </c>
      <c r="G10" s="1" t="s">
        <v>570</v>
      </c>
      <c r="H10" s="1" t="s">
        <v>286</v>
      </c>
      <c r="I10" s="1" t="s">
        <v>702</v>
      </c>
      <c r="J10" s="1" t="s">
        <v>106</v>
      </c>
    </row>
    <row r="11" spans="1:10">
      <c r="A11" s="6" t="s">
        <v>153</v>
      </c>
      <c r="B11" s="1" t="s">
        <v>14</v>
      </c>
      <c r="C11" s="6" t="s">
        <v>161</v>
      </c>
      <c r="D11" s="19" t="s">
        <v>179</v>
      </c>
      <c r="E11" s="1" t="s">
        <v>596</v>
      </c>
      <c r="F11" s="19" t="s">
        <v>179</v>
      </c>
      <c r="G11" s="1" t="s">
        <v>14</v>
      </c>
      <c r="H11" s="1" t="s">
        <v>300</v>
      </c>
      <c r="I11" s="1" t="s">
        <v>159</v>
      </c>
      <c r="J11" s="6" t="s">
        <v>238</v>
      </c>
    </row>
    <row r="12" spans="1:10">
      <c r="A12" s="8" t="s">
        <v>157</v>
      </c>
      <c r="B12" s="3" t="s">
        <v>14</v>
      </c>
      <c r="C12" s="6" t="s">
        <v>161</v>
      </c>
      <c r="D12" s="19" t="s">
        <v>179</v>
      </c>
      <c r="E12" s="3" t="s">
        <v>596</v>
      </c>
      <c r="F12" s="19" t="s">
        <v>179</v>
      </c>
      <c r="G12" s="3" t="s">
        <v>14</v>
      </c>
      <c r="H12" s="1" t="s">
        <v>300</v>
      </c>
      <c r="I12" s="1" t="s">
        <v>159</v>
      </c>
      <c r="J12" s="6" t="s">
        <v>238</v>
      </c>
    </row>
    <row r="13" spans="1:10">
      <c r="A13" s="8" t="s">
        <v>161</v>
      </c>
      <c r="B13" s="3" t="s">
        <v>14</v>
      </c>
      <c r="C13" s="6" t="s">
        <v>161</v>
      </c>
      <c r="D13" s="19" t="s">
        <v>179</v>
      </c>
      <c r="E13" s="3" t="s">
        <v>596</v>
      </c>
      <c r="F13" s="19" t="s">
        <v>179</v>
      </c>
      <c r="G13" s="3" t="s">
        <v>14</v>
      </c>
      <c r="H13" s="1" t="s">
        <v>300</v>
      </c>
      <c r="I13" s="1" t="s">
        <v>159</v>
      </c>
      <c r="J13" s="6" t="s">
        <v>238</v>
      </c>
    </row>
    <row r="14" spans="1:10">
      <c r="A14" s="8" t="s">
        <v>389</v>
      </c>
      <c r="B14" s="3" t="s">
        <v>14</v>
      </c>
      <c r="C14" s="6" t="s">
        <v>161</v>
      </c>
      <c r="D14" s="19" t="s">
        <v>179</v>
      </c>
      <c r="E14" s="3" t="s">
        <v>596</v>
      </c>
      <c r="F14" s="19" t="s">
        <v>179</v>
      </c>
      <c r="G14" s="3" t="s">
        <v>14</v>
      </c>
      <c r="H14" s="1" t="s">
        <v>300</v>
      </c>
      <c r="I14" s="1" t="s">
        <v>159</v>
      </c>
      <c r="J14" s="6" t="s">
        <v>238</v>
      </c>
    </row>
    <row r="15" spans="1:10">
      <c r="A15" s="8" t="s">
        <v>326</v>
      </c>
      <c r="B15" s="3" t="s">
        <v>14</v>
      </c>
      <c r="C15" s="6" t="s">
        <v>161</v>
      </c>
      <c r="D15" s="19" t="s">
        <v>179</v>
      </c>
      <c r="E15" s="1" t="s">
        <v>596</v>
      </c>
      <c r="F15" s="19" t="s">
        <v>179</v>
      </c>
      <c r="G15" s="1" t="s">
        <v>14</v>
      </c>
      <c r="H15" s="1" t="s">
        <v>322</v>
      </c>
      <c r="I15" s="1" t="s">
        <v>159</v>
      </c>
      <c r="J15" s="6" t="s">
        <v>238</v>
      </c>
    </row>
    <row r="16" spans="1:10">
      <c r="A16" s="8" t="s">
        <v>398</v>
      </c>
      <c r="B16" s="3" t="s">
        <v>14</v>
      </c>
      <c r="C16" s="6" t="s">
        <v>161</v>
      </c>
      <c r="D16" s="19" t="s">
        <v>179</v>
      </c>
      <c r="E16" s="1" t="s">
        <v>608</v>
      </c>
      <c r="F16" s="19" t="s">
        <v>179</v>
      </c>
      <c r="G16" s="3" t="s">
        <v>14</v>
      </c>
      <c r="H16" s="1" t="s">
        <v>310</v>
      </c>
      <c r="I16" s="1" t="s">
        <v>159</v>
      </c>
      <c r="J16" s="1" t="s">
        <v>703</v>
      </c>
    </row>
    <row r="17" spans="1:10">
      <c r="A17" s="8" t="s">
        <v>404</v>
      </c>
      <c r="B17" s="3" t="s">
        <v>14</v>
      </c>
      <c r="C17" s="6" t="s">
        <v>161</v>
      </c>
      <c r="D17" s="19" t="s">
        <v>179</v>
      </c>
      <c r="E17" s="3" t="s">
        <v>608</v>
      </c>
      <c r="F17" s="19" t="s">
        <v>179</v>
      </c>
      <c r="G17" s="3" t="s">
        <v>14</v>
      </c>
      <c r="H17" s="1" t="s">
        <v>310</v>
      </c>
      <c r="I17" s="1" t="s">
        <v>159</v>
      </c>
      <c r="J17" s="6" t="s">
        <v>238</v>
      </c>
    </row>
    <row r="18" spans="1:10">
      <c r="A18" s="8" t="s">
        <v>409</v>
      </c>
      <c r="B18" s="3" t="s">
        <v>14</v>
      </c>
      <c r="C18" s="6" t="s">
        <v>161</v>
      </c>
      <c r="D18" s="19" t="s">
        <v>179</v>
      </c>
      <c r="E18" s="3" t="s">
        <v>608</v>
      </c>
      <c r="F18" s="19" t="s">
        <v>179</v>
      </c>
      <c r="G18" s="3" t="s">
        <v>14</v>
      </c>
      <c r="H18" s="1" t="s">
        <v>310</v>
      </c>
      <c r="I18" s="1" t="s">
        <v>159</v>
      </c>
      <c r="J18" s="6" t="s">
        <v>238</v>
      </c>
    </row>
    <row r="19" spans="1:10">
      <c r="A19" s="8" t="s">
        <v>414</v>
      </c>
      <c r="B19" s="3" t="s">
        <v>14</v>
      </c>
      <c r="C19" s="6" t="s">
        <v>161</v>
      </c>
      <c r="D19" s="19" t="s">
        <v>179</v>
      </c>
      <c r="E19" s="1" t="s">
        <v>608</v>
      </c>
      <c r="F19" s="19" t="s">
        <v>179</v>
      </c>
      <c r="G19" s="1" t="s">
        <v>14</v>
      </c>
      <c r="H19" s="1" t="s">
        <v>310</v>
      </c>
      <c r="I19" s="1" t="s">
        <v>159</v>
      </c>
      <c r="J19" s="3" t="s">
        <v>703</v>
      </c>
    </row>
    <row r="20" spans="1:10">
      <c r="A20" s="8" t="s">
        <v>327</v>
      </c>
      <c r="B20" s="3" t="s">
        <v>14</v>
      </c>
      <c r="C20" s="6" t="s">
        <v>161</v>
      </c>
      <c r="D20" s="19" t="s">
        <v>179</v>
      </c>
      <c r="E20" s="1" t="s">
        <v>614</v>
      </c>
      <c r="F20" s="19" t="s">
        <v>179</v>
      </c>
      <c r="G20" s="1" t="s">
        <v>14</v>
      </c>
      <c r="H20" s="1" t="s">
        <v>310</v>
      </c>
      <c r="I20" s="1" t="s">
        <v>159</v>
      </c>
      <c r="J20" s="6" t="s">
        <v>238</v>
      </c>
    </row>
    <row r="21" spans="1:10">
      <c r="A21" s="8" t="s">
        <v>424</v>
      </c>
      <c r="B21" s="3" t="s">
        <v>14</v>
      </c>
      <c r="C21" s="6" t="s">
        <v>161</v>
      </c>
      <c r="D21" s="19" t="s">
        <v>179</v>
      </c>
      <c r="E21" s="1" t="s">
        <v>616</v>
      </c>
      <c r="F21" s="19" t="s">
        <v>179</v>
      </c>
      <c r="G21" s="3" t="s">
        <v>14</v>
      </c>
      <c r="H21" s="1" t="s">
        <v>310</v>
      </c>
      <c r="I21" s="1" t="s">
        <v>159</v>
      </c>
      <c r="J21" s="6" t="s">
        <v>238</v>
      </c>
    </row>
    <row r="22" spans="1:10">
      <c r="A22" s="8" t="s">
        <v>428</v>
      </c>
      <c r="B22" s="3" t="s">
        <v>14</v>
      </c>
      <c r="C22" s="6" t="s">
        <v>161</v>
      </c>
      <c r="D22" s="19" t="s">
        <v>179</v>
      </c>
      <c r="E22" s="1" t="s">
        <v>617</v>
      </c>
      <c r="F22" s="19" t="s">
        <v>179</v>
      </c>
      <c r="G22" s="1" t="s">
        <v>14</v>
      </c>
      <c r="H22" s="1" t="s">
        <v>310</v>
      </c>
      <c r="I22" s="1" t="s">
        <v>159</v>
      </c>
      <c r="J22" s="6" t="s">
        <v>238</v>
      </c>
    </row>
    <row r="23" spans="1:10">
      <c r="A23" s="8" t="s">
        <v>432</v>
      </c>
      <c r="B23" s="3" t="s">
        <v>14</v>
      </c>
      <c r="C23" s="6" t="s">
        <v>161</v>
      </c>
      <c r="D23" s="19" t="s">
        <v>179</v>
      </c>
      <c r="E23" s="1" t="s">
        <v>619</v>
      </c>
      <c r="F23" s="19" t="s">
        <v>179</v>
      </c>
      <c r="G23" s="3" t="s">
        <v>14</v>
      </c>
      <c r="H23" s="1" t="s">
        <v>310</v>
      </c>
      <c r="I23" s="1" t="s">
        <v>159</v>
      </c>
      <c r="J23" s="6" t="s">
        <v>238</v>
      </c>
    </row>
    <row r="24" spans="1:10">
      <c r="A24" s="8" t="s">
        <v>437</v>
      </c>
      <c r="B24" s="3" t="s">
        <v>14</v>
      </c>
      <c r="C24" s="6" t="s">
        <v>161</v>
      </c>
      <c r="D24" s="19" t="s">
        <v>179</v>
      </c>
      <c r="E24" s="1" t="s">
        <v>616</v>
      </c>
      <c r="F24" s="19" t="s">
        <v>179</v>
      </c>
      <c r="G24" s="3" t="s">
        <v>14</v>
      </c>
      <c r="H24" s="1" t="s">
        <v>300</v>
      </c>
      <c r="I24" s="1" t="s">
        <v>159</v>
      </c>
      <c r="J24" s="6" t="s">
        <v>238</v>
      </c>
    </row>
    <row r="25" spans="1:10">
      <c r="A25" s="8" t="s">
        <v>442</v>
      </c>
      <c r="B25" s="3" t="s">
        <v>14</v>
      </c>
      <c r="C25" s="6" t="s">
        <v>161</v>
      </c>
      <c r="D25" s="19" t="s">
        <v>179</v>
      </c>
      <c r="E25" s="1" t="s">
        <v>620</v>
      </c>
      <c r="F25" s="19" t="s">
        <v>179</v>
      </c>
      <c r="G25" s="1" t="s">
        <v>14</v>
      </c>
      <c r="H25" s="1" t="s">
        <v>322</v>
      </c>
      <c r="I25" s="1" t="s">
        <v>159</v>
      </c>
      <c r="J25" s="6" t="s">
        <v>238</v>
      </c>
    </row>
    <row r="26" spans="1:10">
      <c r="A26" s="8" t="s">
        <v>446</v>
      </c>
      <c r="B26" s="3" t="s">
        <v>14</v>
      </c>
      <c r="C26" s="6" t="s">
        <v>161</v>
      </c>
      <c r="D26" s="19" t="s">
        <v>179</v>
      </c>
      <c r="E26" s="1" t="s">
        <v>624</v>
      </c>
      <c r="F26" s="19" t="s">
        <v>179</v>
      </c>
      <c r="G26" s="1" t="s">
        <v>14</v>
      </c>
      <c r="H26" s="1" t="s">
        <v>322</v>
      </c>
      <c r="I26" s="1" t="s">
        <v>159</v>
      </c>
      <c r="J26" s="6" t="s">
        <v>238</v>
      </c>
    </row>
    <row r="27" spans="1:10">
      <c r="A27" s="7" t="s">
        <v>450</v>
      </c>
      <c r="B27" s="2" t="s">
        <v>14</v>
      </c>
      <c r="C27" s="6" t="s">
        <v>161</v>
      </c>
      <c r="D27" s="19" t="s">
        <v>179</v>
      </c>
      <c r="E27" s="1" t="s">
        <v>616</v>
      </c>
      <c r="F27" s="19" t="s">
        <v>179</v>
      </c>
      <c r="G27" s="1" t="s">
        <v>14</v>
      </c>
      <c r="H27" s="1" t="s">
        <v>322</v>
      </c>
      <c r="I27" s="1" t="s">
        <v>159</v>
      </c>
      <c r="J27" s="6" t="s">
        <v>238</v>
      </c>
    </row>
    <row r="28" spans="1:10">
      <c r="A28" s="8" t="s">
        <v>456</v>
      </c>
      <c r="B28" s="8" t="s">
        <v>477</v>
      </c>
      <c r="C28" s="8" t="s">
        <v>157</v>
      </c>
      <c r="D28" s="19" t="s">
        <v>179</v>
      </c>
      <c r="E28" s="3" t="s">
        <v>626</v>
      </c>
      <c r="F28" s="19" t="s">
        <v>179</v>
      </c>
      <c r="G28" s="1" t="s">
        <v>477</v>
      </c>
      <c r="H28" s="1" t="s">
        <v>322</v>
      </c>
      <c r="I28" s="1" t="s">
        <v>159</v>
      </c>
      <c r="J28" s="6" t="s">
        <v>238</v>
      </c>
    </row>
    <row r="29" spans="1:10">
      <c r="A29" s="6" t="s">
        <v>463</v>
      </c>
      <c r="B29" s="6" t="s">
        <v>477</v>
      </c>
      <c r="C29" s="1" t="s">
        <v>157</v>
      </c>
      <c r="D29" s="19" t="s">
        <v>179</v>
      </c>
      <c r="E29" s="1" t="s">
        <v>626</v>
      </c>
      <c r="F29" s="19" t="s">
        <v>179</v>
      </c>
      <c r="G29" s="1" t="s">
        <v>477</v>
      </c>
      <c r="H29" s="1" t="s">
        <v>322</v>
      </c>
      <c r="I29" s="1" t="s">
        <v>159</v>
      </c>
      <c r="J29" s="6" t="s">
        <v>238</v>
      </c>
    </row>
    <row r="30" spans="1:10">
      <c r="A30" s="6" t="s">
        <v>468</v>
      </c>
      <c r="B30" s="1" t="s">
        <v>485</v>
      </c>
      <c r="C30" s="1" t="s">
        <v>157</v>
      </c>
      <c r="D30" s="19" t="s">
        <v>179</v>
      </c>
      <c r="E30" s="1" t="s">
        <v>629</v>
      </c>
      <c r="F30" s="19" t="s">
        <v>179</v>
      </c>
      <c r="G30" s="1" t="s">
        <v>485</v>
      </c>
      <c r="H30" s="1" t="s">
        <v>322</v>
      </c>
      <c r="I30" s="1" t="s">
        <v>159</v>
      </c>
      <c r="J30" s="6" t="s">
        <v>238</v>
      </c>
    </row>
    <row r="31" spans="1:10">
      <c r="A31" s="8" t="s">
        <v>472</v>
      </c>
      <c r="B31" s="6" t="s">
        <v>488</v>
      </c>
      <c r="C31" s="6" t="s">
        <v>157</v>
      </c>
      <c r="D31" s="19" t="s">
        <v>179</v>
      </c>
      <c r="E31" s="1" t="s">
        <v>624</v>
      </c>
      <c r="F31" s="19" t="s">
        <v>179</v>
      </c>
      <c r="G31" s="1" t="s">
        <v>488</v>
      </c>
      <c r="H31" s="1" t="s">
        <v>322</v>
      </c>
      <c r="I31" s="1" t="s">
        <v>159</v>
      </c>
      <c r="J31" s="6" t="s">
        <v>238</v>
      </c>
    </row>
    <row r="32" spans="1:10">
      <c r="A32" s="6" t="s">
        <v>476</v>
      </c>
      <c r="B32" s="16" t="s">
        <v>488</v>
      </c>
      <c r="C32" s="6" t="s">
        <v>157</v>
      </c>
      <c r="D32" s="19" t="s">
        <v>179</v>
      </c>
      <c r="E32" s="3" t="s">
        <v>624</v>
      </c>
      <c r="F32" s="19" t="s">
        <v>179</v>
      </c>
      <c r="G32" s="1" t="s">
        <v>488</v>
      </c>
      <c r="H32" s="1" t="s">
        <v>322</v>
      </c>
      <c r="I32" s="1" t="s">
        <v>159</v>
      </c>
      <c r="J32" s="6" t="s">
        <v>238</v>
      </c>
    </row>
    <row r="33" spans="1:10">
      <c r="A33" s="6" t="s">
        <v>480</v>
      </c>
      <c r="B33" s="6" t="s">
        <v>628</v>
      </c>
      <c r="C33" s="1" t="s">
        <v>157</v>
      </c>
      <c r="D33" s="19" t="s">
        <v>179</v>
      </c>
      <c r="E33" s="1" t="s">
        <v>629</v>
      </c>
      <c r="F33" s="19" t="s">
        <v>179</v>
      </c>
      <c r="G33" s="1" t="s">
        <v>628</v>
      </c>
      <c r="H33" s="1" t="s">
        <v>322</v>
      </c>
      <c r="I33" s="1" t="s">
        <v>159</v>
      </c>
      <c r="J33" s="6" t="s">
        <v>238</v>
      </c>
    </row>
    <row r="34" spans="1:10">
      <c r="A34" s="6" t="s">
        <v>484</v>
      </c>
      <c r="B34" s="6" t="s">
        <v>515</v>
      </c>
      <c r="C34" s="1" t="s">
        <v>157</v>
      </c>
      <c r="D34" s="19" t="s">
        <v>179</v>
      </c>
      <c r="E34" s="1" t="s">
        <v>629</v>
      </c>
      <c r="F34" s="19" t="s">
        <v>179</v>
      </c>
      <c r="G34" s="1" t="s">
        <v>515</v>
      </c>
      <c r="H34" s="1" t="s">
        <v>322</v>
      </c>
      <c r="I34" s="1" t="s">
        <v>159</v>
      </c>
      <c r="J34" s="6" t="s">
        <v>238</v>
      </c>
    </row>
    <row r="35" spans="1:10">
      <c r="A35" s="6" t="s">
        <v>487</v>
      </c>
      <c r="B35" s="6" t="s">
        <v>631</v>
      </c>
      <c r="C35" s="1" t="s">
        <v>157</v>
      </c>
      <c r="D35" s="19" t="s">
        <v>179</v>
      </c>
      <c r="E35" s="1" t="s">
        <v>629</v>
      </c>
      <c r="F35" s="19" t="s">
        <v>179</v>
      </c>
      <c r="G35" s="1" t="s">
        <v>631</v>
      </c>
      <c r="H35" s="1" t="s">
        <v>322</v>
      </c>
      <c r="I35" s="1" t="s">
        <v>159</v>
      </c>
      <c r="J35" s="6" t="s">
        <v>238</v>
      </c>
    </row>
    <row r="36" spans="1:10">
      <c r="A36" s="6" t="s">
        <v>491</v>
      </c>
      <c r="B36" s="6" t="s">
        <v>517</v>
      </c>
      <c r="C36" s="1" t="s">
        <v>157</v>
      </c>
      <c r="D36" s="19" t="s">
        <v>179</v>
      </c>
      <c r="E36" s="1" t="s">
        <v>629</v>
      </c>
      <c r="F36" s="19" t="s">
        <v>179</v>
      </c>
      <c r="G36" s="1" t="s">
        <v>517</v>
      </c>
      <c r="H36" s="1" t="s">
        <v>319</v>
      </c>
      <c r="I36" s="1" t="s">
        <v>159</v>
      </c>
      <c r="J36" s="6" t="s">
        <v>238</v>
      </c>
    </row>
    <row r="37" spans="1:10">
      <c r="A37" s="6" t="s">
        <v>495</v>
      </c>
      <c r="B37" s="8" t="s">
        <v>517</v>
      </c>
      <c r="C37" s="1" t="s">
        <v>157</v>
      </c>
      <c r="D37" s="19" t="s">
        <v>179</v>
      </c>
      <c r="E37" s="3" t="s">
        <v>629</v>
      </c>
      <c r="F37" s="19" t="s">
        <v>179</v>
      </c>
      <c r="G37" s="1" t="s">
        <v>517</v>
      </c>
      <c r="H37" s="1" t="s">
        <v>319</v>
      </c>
      <c r="I37" s="1" t="s">
        <v>159</v>
      </c>
      <c r="J37" s="6" t="s">
        <v>238</v>
      </c>
    </row>
    <row r="38" spans="1:10">
      <c r="A38" s="6" t="s">
        <v>498</v>
      </c>
      <c r="B38" s="8" t="s">
        <v>517</v>
      </c>
      <c r="C38" s="1" t="s">
        <v>157</v>
      </c>
      <c r="D38" s="19" t="s">
        <v>179</v>
      </c>
      <c r="E38" s="3" t="s">
        <v>629</v>
      </c>
      <c r="F38" s="19" t="s">
        <v>179</v>
      </c>
      <c r="G38" s="1" t="s">
        <v>517</v>
      </c>
      <c r="H38" s="1" t="s">
        <v>319</v>
      </c>
      <c r="I38" s="1" t="s">
        <v>159</v>
      </c>
      <c r="J38" s="6" t="s">
        <v>238</v>
      </c>
    </row>
    <row r="39" spans="1:10">
      <c r="A39" s="6" t="s">
        <v>503</v>
      </c>
      <c r="B39" s="6" t="s">
        <v>524</v>
      </c>
      <c r="C39" s="1" t="s">
        <v>157</v>
      </c>
      <c r="D39" s="19" t="s">
        <v>179</v>
      </c>
      <c r="E39" s="1" t="s">
        <v>629</v>
      </c>
      <c r="F39" s="19" t="s">
        <v>179</v>
      </c>
      <c r="G39" s="1" t="s">
        <v>524</v>
      </c>
      <c r="H39" s="1" t="s">
        <v>322</v>
      </c>
      <c r="I39" s="1" t="s">
        <v>159</v>
      </c>
      <c r="J39" s="6" t="s">
        <v>238</v>
      </c>
    </row>
    <row r="40" spans="1:10">
      <c r="A40" s="6" t="s">
        <v>507</v>
      </c>
      <c r="B40" s="8" t="s">
        <v>524</v>
      </c>
      <c r="C40" s="1" t="s">
        <v>157</v>
      </c>
      <c r="D40" s="19" t="s">
        <v>179</v>
      </c>
      <c r="E40" s="3" t="s">
        <v>629</v>
      </c>
      <c r="F40" s="19" t="s">
        <v>179</v>
      </c>
      <c r="G40" s="1" t="s">
        <v>524</v>
      </c>
      <c r="H40" s="1" t="s">
        <v>322</v>
      </c>
      <c r="I40" s="1" t="s">
        <v>159</v>
      </c>
      <c r="J40" s="6" t="s">
        <v>238</v>
      </c>
    </row>
    <row r="41" spans="1:10">
      <c r="A41" s="6" t="s">
        <v>510</v>
      </c>
      <c r="B41" s="8" t="s">
        <v>524</v>
      </c>
      <c r="C41" s="1" t="s">
        <v>157</v>
      </c>
      <c r="D41" s="19" t="s">
        <v>179</v>
      </c>
      <c r="E41" s="3" t="s">
        <v>629</v>
      </c>
      <c r="F41" s="19" t="s">
        <v>179</v>
      </c>
      <c r="G41" s="1" t="s">
        <v>524</v>
      </c>
      <c r="H41" s="1" t="s">
        <v>322</v>
      </c>
      <c r="I41" s="1" t="s">
        <v>159</v>
      </c>
      <c r="J41" s="6" t="s">
        <v>238</v>
      </c>
    </row>
    <row r="42" spans="1:10">
      <c r="A42" s="6" t="s">
        <v>514</v>
      </c>
      <c r="B42" s="6" t="s">
        <v>704</v>
      </c>
      <c r="C42" s="6" t="s">
        <v>157</v>
      </c>
      <c r="D42" s="6" t="s">
        <v>179</v>
      </c>
      <c r="E42" s="1" t="s">
        <v>629</v>
      </c>
      <c r="F42" s="6" t="s">
        <v>179</v>
      </c>
      <c r="G42" s="6" t="s">
        <v>704</v>
      </c>
      <c r="H42" s="1" t="s">
        <v>322</v>
      </c>
      <c r="I42" s="1" t="s">
        <v>159</v>
      </c>
      <c r="J42" s="6" t="s">
        <v>238</v>
      </c>
    </row>
    <row r="43" spans="1:10">
      <c r="A43" s="6" t="s">
        <v>705</v>
      </c>
      <c r="B43" s="6" t="s">
        <v>706</v>
      </c>
      <c r="C43" s="6" t="s">
        <v>157</v>
      </c>
      <c r="D43" s="6" t="s">
        <v>179</v>
      </c>
      <c r="E43" s="1" t="s">
        <v>624</v>
      </c>
      <c r="F43" s="6" t="s">
        <v>179</v>
      </c>
      <c r="G43" s="6" t="s">
        <v>706</v>
      </c>
      <c r="H43" s="1" t="s">
        <v>322</v>
      </c>
      <c r="I43" s="1" t="s">
        <v>159</v>
      </c>
      <c r="J43" s="6" t="s">
        <v>238</v>
      </c>
    </row>
    <row r="44" spans="1:10">
      <c r="A44" s="6" t="s">
        <v>707</v>
      </c>
      <c r="B44" s="6" t="s">
        <v>706</v>
      </c>
      <c r="C44" s="6" t="s">
        <v>157</v>
      </c>
      <c r="D44" s="6" t="s">
        <v>179</v>
      </c>
      <c r="E44" s="1" t="s">
        <v>624</v>
      </c>
      <c r="F44" s="6" t="s">
        <v>179</v>
      </c>
      <c r="G44" s="6" t="s">
        <v>706</v>
      </c>
      <c r="H44" s="1" t="s">
        <v>322</v>
      </c>
      <c r="I44" s="1" t="s">
        <v>159</v>
      </c>
      <c r="J44" s="6" t="s">
        <v>238</v>
      </c>
    </row>
  </sheetData>
  <conditionalFormatting sqref="A11:AF999999">
    <cfRule type="expression" dxfId="130" priority="2">
      <formula>AND(A11="", $A11&lt;&gt;"", A$10&lt;&gt;"")</formula>
    </cfRule>
  </conditionalFormatting>
  <conditionalFormatting sqref="A11:AF999999">
    <cfRule type="expression" dxfId="129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2EDC4-61FD-4451-A741-A4B898C878B7}">
  <dimension ref="A1:AB66"/>
  <sheetViews>
    <sheetView workbookViewId="0">
      <pane xSplit="2" topLeftCell="M21" activePane="topRight" state="frozen"/>
      <selection pane="topRight" activeCell="U7" sqref="U7"/>
    </sheetView>
  </sheetViews>
  <sheetFormatPr defaultRowHeight="15"/>
  <cols>
    <col min="1" max="1" width="13.5703125" style="17" customWidth="1"/>
    <col min="2" max="3" width="13.7109375" style="17" customWidth="1"/>
    <col min="4" max="4" width="10" style="17" customWidth="1"/>
    <col min="5" max="5" width="18.5703125" style="17" customWidth="1"/>
    <col min="6" max="6" width="41.7109375" style="17" customWidth="1"/>
    <col min="7" max="7" width="13.7109375" style="17" customWidth="1"/>
    <col min="8" max="8" width="14.28515625" style="17" customWidth="1"/>
    <col min="9" max="9" width="27.5703125" style="17" customWidth="1"/>
    <col min="10" max="10" width="27.7109375" style="17" customWidth="1"/>
    <col min="11" max="11" width="22.28515625" style="17" customWidth="1"/>
    <col min="12" max="12" width="28.5703125" style="17" customWidth="1"/>
    <col min="13" max="13" width="22.28515625" style="17" customWidth="1"/>
    <col min="14" max="14" width="24.28515625" style="17" bestFit="1" customWidth="1"/>
    <col min="15" max="15" width="18.28515625" style="17" customWidth="1"/>
    <col min="16" max="16" width="11.140625" style="17" customWidth="1"/>
    <col min="17" max="17" width="17.5703125" style="17" customWidth="1"/>
    <col min="18" max="18" width="17.85546875" style="17" customWidth="1"/>
    <col min="19" max="19" width="19.5703125" style="17" customWidth="1"/>
    <col min="20" max="20" width="18.5703125" style="17" customWidth="1"/>
    <col min="21" max="21" width="14" style="17" customWidth="1"/>
    <col min="22" max="22" width="15.140625" style="17" customWidth="1"/>
    <col min="23" max="23" width="18.85546875" style="17" customWidth="1"/>
    <col min="24" max="24" width="19.85546875" style="17" customWidth="1"/>
    <col min="25" max="25" width="17.5703125" style="17" customWidth="1"/>
    <col min="26" max="26" width="19.5703125" style="17" customWidth="1"/>
    <col min="27" max="27" width="21.7109375" style="17" customWidth="1"/>
    <col min="28" max="28" width="160.42578125" style="17" customWidth="1"/>
    <col min="29" max="16384" width="9.140625" style="17"/>
  </cols>
  <sheetData>
    <row r="1" spans="1:28">
      <c r="A1" s="17" t="s">
        <v>555</v>
      </c>
      <c r="C1" s="3"/>
      <c r="F1" s="20"/>
      <c r="L1" s="3"/>
      <c r="M1" s="3"/>
      <c r="T1" s="20"/>
      <c r="X1" s="17" t="s">
        <v>708</v>
      </c>
    </row>
    <row r="2" spans="1:28">
      <c r="A2" s="3" t="s">
        <v>709</v>
      </c>
    </row>
    <row r="4" spans="1:28">
      <c r="T4" s="20"/>
    </row>
    <row r="5" spans="1:28">
      <c r="T5" s="20"/>
    </row>
    <row r="8" spans="1:28">
      <c r="U8" s="20"/>
    </row>
    <row r="9" spans="1:28">
      <c r="C9" s="17" t="s">
        <v>336</v>
      </c>
      <c r="F9" s="19" t="s">
        <v>565</v>
      </c>
      <c r="G9" s="17" t="s">
        <v>336</v>
      </c>
      <c r="H9" s="17" t="s">
        <v>336</v>
      </c>
      <c r="I9" s="19" t="s">
        <v>710</v>
      </c>
      <c r="J9" s="19" t="s">
        <v>711</v>
      </c>
      <c r="K9" s="17" t="s">
        <v>336</v>
      </c>
      <c r="L9" s="3" t="s">
        <v>557</v>
      </c>
      <c r="O9" s="19" t="s">
        <v>566</v>
      </c>
      <c r="P9" s="19" t="s">
        <v>336</v>
      </c>
      <c r="Q9" s="17" t="s">
        <v>336</v>
      </c>
      <c r="U9" s="17" t="s">
        <v>712</v>
      </c>
      <c r="V9" s="17" t="s">
        <v>712</v>
      </c>
      <c r="X9" s="17" t="s">
        <v>713</v>
      </c>
    </row>
    <row r="10" spans="1:28">
      <c r="A10" s="34" t="s">
        <v>567</v>
      </c>
      <c r="B10" s="34" t="s">
        <v>568</v>
      </c>
      <c r="C10" s="34" t="s">
        <v>714</v>
      </c>
      <c r="D10" s="17" t="s">
        <v>286</v>
      </c>
      <c r="E10" s="17" t="s">
        <v>715</v>
      </c>
      <c r="F10" s="17" t="s">
        <v>569</v>
      </c>
      <c r="G10" s="34" t="s">
        <v>716</v>
      </c>
      <c r="H10" s="34" t="s">
        <v>570</v>
      </c>
      <c r="I10" s="34" t="s">
        <v>717</v>
      </c>
      <c r="J10" s="34" t="s">
        <v>718</v>
      </c>
      <c r="K10" s="34" t="s">
        <v>575</v>
      </c>
      <c r="L10" s="34" t="s">
        <v>576</v>
      </c>
      <c r="M10" s="34" t="s">
        <v>577</v>
      </c>
      <c r="N10" s="17" t="s">
        <v>719</v>
      </c>
      <c r="O10" s="17" t="s">
        <v>579</v>
      </c>
      <c r="P10" s="17" t="s">
        <v>720</v>
      </c>
      <c r="Q10" s="34" t="s">
        <v>589</v>
      </c>
      <c r="R10" s="34" t="s">
        <v>590</v>
      </c>
      <c r="S10" s="34" t="s">
        <v>721</v>
      </c>
      <c r="T10" s="34" t="s">
        <v>722</v>
      </c>
      <c r="U10" s="34" t="s">
        <v>6</v>
      </c>
      <c r="V10" s="34" t="s">
        <v>7</v>
      </c>
      <c r="W10" s="34" t="s">
        <v>723</v>
      </c>
      <c r="X10" s="34" t="s">
        <v>724</v>
      </c>
      <c r="Y10" s="34" t="s">
        <v>725</v>
      </c>
      <c r="Z10" s="34" t="s">
        <v>726</v>
      </c>
      <c r="AA10" s="34" t="s">
        <v>727</v>
      </c>
      <c r="AB10" s="17" t="s">
        <v>106</v>
      </c>
    </row>
    <row r="11" spans="1:28">
      <c r="A11" s="19" t="s">
        <v>153</v>
      </c>
      <c r="B11" s="19" t="s">
        <v>153</v>
      </c>
      <c r="C11" s="19" t="s">
        <v>153</v>
      </c>
      <c r="D11" s="17" t="str" cm="1">
        <f t="array" ref="D11">_xlfn.LET(_xlpm.value, _xlfn.XLOOKUP(Growing[[#This Row],[Seed Cup]], Cups[Id], Cups[Seed]), IF(_xlpm.value="", "", _xlpm.value))</f>
        <v>3059JP.65</v>
      </c>
      <c r="E11" s="17" t="str" cm="1">
        <f t="array" ref="E11">_xlfn.LET(_xlpm.value, _xlfn.XLOOKUP(Growing[[#This Row],[Seed]], Seeds[Seed], Seeds[Common Name]), IFERROR(_xlpm.value, ""))</f>
        <v>Red Oakleaf Lettuce</v>
      </c>
      <c r="F11" s="17" t="str">
        <f>IF(Growing[[#This Row],[Growing Jar]]="None", "None", IF(Growing[[#This Row],[Growing Jar]]="", "", _xlfn.XLOOKUP(Growing[[#This Row],[Growing Jar]],Jars!A:A,Jars!C:C)))</f>
        <v>Romaine Calm</v>
      </c>
      <c r="G11" s="19" t="str" cm="1">
        <f t="array" aca="1" ref="G1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1" s="17" t="str" cm="1">
        <f t="array" ref="H11">_xlfn.LET(_xlpm.value, _xlfn.XLOOKUP(Growing[[#This Row],[Seed Cup]], Cups[Id], Cups[Date Seeded]), IF(_xlpm.value="", "", _xlpm.value))</f>
        <v>Unknown</v>
      </c>
      <c r="I1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1" s="17" t="s">
        <v>14</v>
      </c>
      <c r="L11" s="17" t="s">
        <v>14</v>
      </c>
      <c r="M11" s="17" t="s">
        <v>374</v>
      </c>
      <c r="N11" s="17" t="s">
        <v>163</v>
      </c>
      <c r="O1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1" s="17" t="str">
        <f>IF(_xlfn.SINGLE(Growing[Growing Jar])="", "", TEXT(COUNTIF(Harvest[Growing Jar], _xlfn.SINGLE(Growing[Growing Jar])), "General"))</f>
        <v>2</v>
      </c>
      <c r="Q11" s="17" t="s">
        <v>598</v>
      </c>
      <c r="R11" s="17" t="s">
        <v>601</v>
      </c>
      <c r="S11" s="20" t="s">
        <v>14</v>
      </c>
      <c r="T11" s="37" t="s">
        <v>14</v>
      </c>
      <c r="U11" s="20" t="s">
        <v>14</v>
      </c>
      <c r="V11" s="20" t="s">
        <v>14</v>
      </c>
      <c r="W11" s="17" t="s">
        <v>14</v>
      </c>
      <c r="X11" s="17" t="s">
        <v>14</v>
      </c>
      <c r="Y11" s="37" t="str" cm="1">
        <f t="array" ref="Y11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1" s="37" t="s">
        <v>14</v>
      </c>
      <c r="AA11" s="20" t="s">
        <v>14</v>
      </c>
      <c r="AB11" s="17" t="s">
        <v>600</v>
      </c>
    </row>
    <row r="12" spans="1:28">
      <c r="A12" s="21" t="s">
        <v>157</v>
      </c>
      <c r="B12" s="21" t="s">
        <v>157</v>
      </c>
      <c r="C12" s="19" t="s">
        <v>157</v>
      </c>
      <c r="D12" s="17" t="str" cm="1">
        <f t="array" ref="D12">_xlfn.LET(_xlpm.value, _xlfn.XLOOKUP(Growing[[#This Row],[Seed Cup]], Cups[Id], Cups[Seed]), IF(_xlpm.value="", "", _xlpm.value))</f>
        <v>3059JP.65</v>
      </c>
      <c r="E12" s="17" t="str" cm="1">
        <f t="array" ref="E12">_xlfn.LET(_xlpm.value, _xlfn.XLOOKUP(Growing[[#This Row],[Seed]], Seeds[Seed], Seeds[Common Name]), IFERROR(_xlpm.value, ""))</f>
        <v>Red Oakleaf Lettuce</v>
      </c>
      <c r="F12" s="17" t="str">
        <f>IF(Growing[[#This Row],[Growing Jar]]="None", "None", IF(Growing[[#This Row],[Growing Jar]]="", "", _xlfn.XLOOKUP(Growing[[#This Row],[Growing Jar]],Jars!A:A,Jars!C:C)))</f>
        <v>Leaf Quickly</v>
      </c>
      <c r="G12" s="21" t="str" cm="1">
        <f t="array" aca="1" ref="G1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2" s="20" t="str" cm="1">
        <f t="array" ref="H12">_xlfn.LET(_xlpm.value, _xlfn.XLOOKUP(Growing[[#This Row],[Seed Cup]], Cups[Id], Cups[Date Seeded]), IF(_xlpm.value="", "", _xlpm.value))</f>
        <v>Unknown</v>
      </c>
      <c r="I12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2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2" s="20" t="s">
        <v>14</v>
      </c>
      <c r="L12" s="20" t="s">
        <v>14</v>
      </c>
      <c r="M12" s="20" t="s">
        <v>374</v>
      </c>
      <c r="N12" s="17" t="s">
        <v>163</v>
      </c>
      <c r="O1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2" s="17" t="str">
        <f>IF(_xlfn.SINGLE(Growing[Growing Jar])="", "", TEXT(COUNTIF(Harvest[Growing Jar], _xlfn.SINGLE(Growing[Growing Jar])), "General"))</f>
        <v>1</v>
      </c>
      <c r="Q12" s="17" t="s">
        <v>597</v>
      </c>
      <c r="R12" s="17" t="s">
        <v>601</v>
      </c>
      <c r="S12" s="20" t="s">
        <v>14</v>
      </c>
      <c r="T12" s="38" t="s">
        <v>14</v>
      </c>
      <c r="U12" s="20" t="s">
        <v>14</v>
      </c>
      <c r="V12" s="20" t="s">
        <v>14</v>
      </c>
      <c r="W12" s="17" t="s">
        <v>14</v>
      </c>
      <c r="X12" s="17" t="s">
        <v>14</v>
      </c>
      <c r="Y12" s="38" t="str" cm="1">
        <f t="array" ref="Y12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2" s="38" t="s">
        <v>14</v>
      </c>
      <c r="AA12" s="20" t="s">
        <v>14</v>
      </c>
      <c r="AB12" s="20" t="s">
        <v>602</v>
      </c>
    </row>
    <row r="13" spans="1:28">
      <c r="A13" s="21" t="s">
        <v>161</v>
      </c>
      <c r="B13" s="21" t="s">
        <v>161</v>
      </c>
      <c r="C13" s="19" t="s">
        <v>161</v>
      </c>
      <c r="D13" s="17" t="str" cm="1">
        <f t="array" ref="D13">_xlfn.LET(_xlpm.value, _xlfn.XLOOKUP(Growing[[#This Row],[Seed Cup]], Cups[Id], Cups[Seed]), IF(_xlpm.value="", "", _xlpm.value))</f>
        <v>3059JP.65</v>
      </c>
      <c r="E13" s="17" t="str" cm="1">
        <f t="array" ref="E13">_xlfn.LET(_xlpm.value, _xlfn.XLOOKUP(Growing[[#This Row],[Seed]], Seeds[Seed], Seeds[Common Name]), IFERROR(_xlpm.value, ""))</f>
        <v>Red Oakleaf Lettuce</v>
      </c>
      <c r="F13" s="17" t="str">
        <f>IF(Growing[[#This Row],[Growing Jar]]="None", "None", IF(Growing[[#This Row],[Growing Jar]]="", "", _xlfn.XLOOKUP(Growing[[#This Row],[Growing Jar]],Jars!A:A,Jars!C:C)))</f>
        <v>Toss Boss</v>
      </c>
      <c r="G13" s="21" t="str" cm="1">
        <f t="array" aca="1" ref="G1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3" s="20" t="str" cm="1">
        <f t="array" ref="H13">_xlfn.LET(_xlpm.value, _xlfn.XLOOKUP(Growing[[#This Row],[Seed Cup]], Cups[Id], Cups[Date Seeded]), IF(_xlpm.value="", "", _xlpm.value))</f>
        <v>Unknown</v>
      </c>
      <c r="I13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3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3" s="20" t="s">
        <v>14</v>
      </c>
      <c r="L13" s="17" t="s">
        <v>14</v>
      </c>
      <c r="M13" s="20" t="s">
        <v>374</v>
      </c>
      <c r="N13" s="17" t="s">
        <v>163</v>
      </c>
      <c r="O1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3" s="17" t="str">
        <f>IF(_xlfn.SINGLE(Growing[Growing Jar])="", "", TEXT(COUNTIF(Harvest[Growing Jar], _xlfn.SINGLE(Growing[Growing Jar])), "General"))</f>
        <v>1</v>
      </c>
      <c r="Q13" s="17" t="s">
        <v>597</v>
      </c>
      <c r="R13" s="17" t="s">
        <v>601</v>
      </c>
      <c r="S13" s="20" t="s">
        <v>14</v>
      </c>
      <c r="T13" s="37" t="s">
        <v>14</v>
      </c>
      <c r="U13" s="20" t="s">
        <v>14</v>
      </c>
      <c r="V13" s="20" t="s">
        <v>14</v>
      </c>
      <c r="W13" s="17" t="s">
        <v>14</v>
      </c>
      <c r="X13" s="17" t="s">
        <v>14</v>
      </c>
      <c r="Y13" s="37" t="str" cm="1">
        <f t="array" ref="Y13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3" s="37" t="s">
        <v>14</v>
      </c>
      <c r="AA13" s="20" t="s">
        <v>14</v>
      </c>
      <c r="AB13" s="20" t="s">
        <v>602</v>
      </c>
    </row>
    <row r="14" spans="1:28">
      <c r="A14" s="21" t="s">
        <v>389</v>
      </c>
      <c r="B14" s="21" t="s">
        <v>389</v>
      </c>
      <c r="C14" s="19" t="s">
        <v>389</v>
      </c>
      <c r="D14" s="17" t="str" cm="1">
        <f t="array" ref="D14">_xlfn.LET(_xlpm.value, _xlfn.XLOOKUP(Growing[[#This Row],[Seed Cup]], Cups[Id], Cups[Seed]), IF(_xlpm.value="", "", _xlpm.value))</f>
        <v>3059JP.65</v>
      </c>
      <c r="E14" s="17" t="str" cm="1">
        <f t="array" ref="E14">_xlfn.LET(_xlpm.value, _xlfn.XLOOKUP(Growing[[#This Row],[Seed]], Seeds[Seed], Seeds[Common Name]), IFERROR(_xlpm.value, ""))</f>
        <v>Red Oakleaf Lettuce</v>
      </c>
      <c r="F14" s="17" t="str">
        <f>IF(Growing[[#This Row],[Growing Jar]]="None", "None", IF(Growing[[#This Row],[Growing Jar]]="", "", _xlfn.XLOOKUP(Growing[[#This Row],[Growing Jar]],Jars!A:A,Jars!C:C)))</f>
        <v>Lettuce Bee Bold</v>
      </c>
      <c r="G14" s="21" t="str" cm="1">
        <f t="array" aca="1" ref="G1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4" s="20" t="str" cm="1">
        <f t="array" ref="H14">_xlfn.LET(_xlpm.value, _xlfn.XLOOKUP(Growing[[#This Row],[Seed Cup]], Cups[Id], Cups[Date Seeded]), IF(_xlpm.value="", "", _xlpm.value))</f>
        <v>Unknown</v>
      </c>
      <c r="I14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4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4" s="20" t="s">
        <v>14</v>
      </c>
      <c r="L14" s="17" t="s">
        <v>14</v>
      </c>
      <c r="M14" s="20" t="s">
        <v>374</v>
      </c>
      <c r="N14" s="17" t="s">
        <v>163</v>
      </c>
      <c r="O1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4" s="17" t="str">
        <f>IF(_xlfn.SINGLE(Growing[Growing Jar])="", "", TEXT(COUNTIF(Harvest[Growing Jar], _xlfn.SINGLE(Growing[Growing Jar])), "General"))</f>
        <v>2</v>
      </c>
      <c r="Q14" s="17" t="s">
        <v>598</v>
      </c>
      <c r="R14" s="17" t="s">
        <v>601</v>
      </c>
      <c r="S14" s="20" t="s">
        <v>14</v>
      </c>
      <c r="T14" s="38" t="s">
        <v>14</v>
      </c>
      <c r="U14" s="20" t="s">
        <v>14</v>
      </c>
      <c r="V14" s="20" t="s">
        <v>14</v>
      </c>
      <c r="W14" s="17" t="s">
        <v>14</v>
      </c>
      <c r="X14" s="17" t="s">
        <v>14</v>
      </c>
      <c r="Y14" s="38" t="str" cm="1">
        <f t="array" ref="Y14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4" s="38" t="s">
        <v>14</v>
      </c>
      <c r="AA14" s="20" t="s">
        <v>14</v>
      </c>
      <c r="AB14" s="20" t="s">
        <v>600</v>
      </c>
    </row>
    <row r="15" spans="1:28">
      <c r="A15" s="21" t="s">
        <v>326</v>
      </c>
      <c r="B15" s="21" t="s">
        <v>326</v>
      </c>
      <c r="C15" s="19" t="s">
        <v>326</v>
      </c>
      <c r="D15" s="17" t="str" cm="1">
        <f t="array" ref="D15">_xlfn.LET(_xlpm.value, _xlfn.XLOOKUP(Growing[[#This Row],[Seed Cup]], Cups[Id], Cups[Seed]), IF(_xlpm.value="", "", _xlpm.value))</f>
        <v>2178GP.53</v>
      </c>
      <c r="E15" s="17" t="str" cm="1">
        <f t="array" ref="E15">_xlfn.LET(_xlpm.value, _xlfn.XLOOKUP(Growing[[#This Row],[Seed]], Seeds[Seed], Seeds[Common Name]), IFERROR(_xlpm.value, ""))</f>
        <v>Nufar Basil</v>
      </c>
      <c r="F15" s="17" t="str">
        <f>IF(Growing[[#This Row],[Growing Jar]]="None", "None", IF(Growing[[#This Row],[Growing Jar]]="", "", _xlfn.XLOOKUP(Growing[[#This Row],[Growing Jar]],Jars!A:A,Jars!C:C)))</f>
        <v>Dressed for Success</v>
      </c>
      <c r="G15" s="21" t="str" cm="1">
        <f t="array" aca="1" ref="G1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5" s="20" t="str" cm="1">
        <f t="array" ref="H15">_xlfn.LET(_xlpm.value, _xlfn.XLOOKUP(Growing[[#This Row],[Seed Cup]], Cups[Id], Cups[Date Seeded]), IF(_xlpm.value="", "", _xlpm.value))</f>
        <v>Unknown</v>
      </c>
      <c r="I15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5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5" s="20" t="s">
        <v>14</v>
      </c>
      <c r="L15" s="17" t="s">
        <v>14</v>
      </c>
      <c r="M15" s="20" t="s">
        <v>374</v>
      </c>
      <c r="N15" s="17" t="s">
        <v>163</v>
      </c>
      <c r="O1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5" s="17" t="str">
        <f>IF(_xlfn.SINGLE(Growing[Growing Jar])="", "", TEXT(COUNTIF(Harvest[Growing Jar], _xlfn.SINGLE(Growing[Growing Jar])), "General"))</f>
        <v>0</v>
      </c>
      <c r="Q15" s="17" t="s">
        <v>597</v>
      </c>
      <c r="R15" s="20" t="s">
        <v>603</v>
      </c>
      <c r="S15" s="20" t="s">
        <v>14</v>
      </c>
      <c r="T15" s="37" t="s">
        <v>14</v>
      </c>
      <c r="U15" s="20" t="s">
        <v>14</v>
      </c>
      <c r="V15" s="20" t="s">
        <v>14</v>
      </c>
      <c r="W15" s="20" t="s">
        <v>14</v>
      </c>
      <c r="X15" s="20" t="s">
        <v>14</v>
      </c>
      <c r="Y15" s="37" t="str" cm="1">
        <f t="array" ref="Y15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5" s="37" t="s">
        <v>14</v>
      </c>
      <c r="AA15" s="20" t="s">
        <v>14</v>
      </c>
      <c r="AB15" s="17" t="s">
        <v>604</v>
      </c>
    </row>
    <row r="16" spans="1:28">
      <c r="A16" s="21" t="s">
        <v>398</v>
      </c>
      <c r="B16" s="21" t="s">
        <v>398</v>
      </c>
      <c r="C16" s="19" t="s">
        <v>398</v>
      </c>
      <c r="D16" s="17" t="str" cm="1">
        <f t="array" ref="D16">_xlfn.LET(_xlpm.value, _xlfn.XLOOKUP(Growing[[#This Row],[Seed Cup]], Cups[Id], Cups[Seed]), IF(_xlpm.value="", "", _xlpm.value))</f>
        <v>3057JP.65</v>
      </c>
      <c r="E16" s="17" t="str" cm="1">
        <f t="array" ref="E16">_xlfn.LET(_xlpm.value, _xlfn.XLOOKUP(Growing[[#This Row],[Seed]], Seeds[Seed], Seeds[Common Name]), IFERROR(_xlpm.value, ""))</f>
        <v>Red Butter Lettuce</v>
      </c>
      <c r="F16" s="17" t="str">
        <f>IF(Growing[[#This Row],[Growing Jar]]="None", "None", IF(Growing[[#This Row],[Growing Jar]]="", "", _xlfn.XLOOKUP(Growing[[#This Row],[Growing Jar]],Jars!A:A,Jars!C:C)))</f>
        <v>Chop Chop Real Smooth</v>
      </c>
      <c r="G16" s="21" t="str" cm="1">
        <f t="array" aca="1" ref="G1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6" s="20" t="str" cm="1">
        <f t="array" ref="H16">_xlfn.LET(_xlpm.value, _xlfn.XLOOKUP(Growing[[#This Row],[Seed Cup]], Cups[Id], Cups[Date Seeded]), IF(_xlpm.value="", "", _xlpm.value))</f>
        <v>Unknown</v>
      </c>
      <c r="I16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6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6" s="20" t="s">
        <v>14</v>
      </c>
      <c r="L16" s="17" t="s">
        <v>14</v>
      </c>
      <c r="M16" s="20" t="s">
        <v>374</v>
      </c>
      <c r="N16" s="17" t="s">
        <v>163</v>
      </c>
      <c r="O1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6" s="17" t="str">
        <f>IF(_xlfn.SINGLE(Growing[Growing Jar])="", "", TEXT(COUNTIF(Harvest[Growing Jar], _xlfn.SINGLE(Growing[Growing Jar])), "General"))</f>
        <v>1</v>
      </c>
      <c r="Q16" s="21" t="s">
        <v>606</v>
      </c>
      <c r="R16" s="17" t="s">
        <v>601</v>
      </c>
      <c r="S16" s="20" t="s">
        <v>14</v>
      </c>
      <c r="T16" s="38" t="s">
        <v>14</v>
      </c>
      <c r="U16" s="20" t="s">
        <v>14</v>
      </c>
      <c r="V16" s="20" t="s">
        <v>14</v>
      </c>
      <c r="W16" s="17" t="s">
        <v>14</v>
      </c>
      <c r="X16" s="17" t="s">
        <v>14</v>
      </c>
      <c r="Y16" s="38" t="str" cm="1">
        <f t="array" ref="Y16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6" s="38" t="s">
        <v>14</v>
      </c>
      <c r="AA16" s="20" t="s">
        <v>14</v>
      </c>
      <c r="AB16" s="20" t="s">
        <v>602</v>
      </c>
    </row>
    <row r="17" spans="1:28">
      <c r="A17" s="21" t="s">
        <v>404</v>
      </c>
      <c r="B17" s="21" t="s">
        <v>404</v>
      </c>
      <c r="C17" s="19" t="s">
        <v>404</v>
      </c>
      <c r="D17" s="17" t="str" cm="1">
        <f t="array" ref="D17">_xlfn.LET(_xlpm.value, _xlfn.XLOOKUP(Growing[[#This Row],[Seed Cup]], Cups[Id], Cups[Seed]), IF(_xlpm.value="", "", _xlpm.value))</f>
        <v>3057JP.65</v>
      </c>
      <c r="E17" s="17" t="str" cm="1">
        <f t="array" ref="E17">_xlfn.LET(_xlpm.value, _xlfn.XLOOKUP(Growing[[#This Row],[Seed]], Seeds[Seed], Seeds[Common Name]), IFERROR(_xlpm.value, ""))</f>
        <v>Red Butter Lettuce</v>
      </c>
      <c r="F17" s="17" t="str">
        <f>IF(Growing[[#This Row],[Growing Jar]]="None", "None", IF(Growing[[#This Row],[Growing Jar]]="", "", _xlfn.XLOOKUP(Growing[[#This Row],[Growing Jar]],Jars!A:A,Jars!C:C)))</f>
        <v>Duck Duck Produce!</v>
      </c>
      <c r="G17" s="21" t="str" cm="1">
        <f t="array" aca="1" ref="G1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7" s="20" t="str" cm="1">
        <f t="array" ref="H17">_xlfn.LET(_xlpm.value, _xlfn.XLOOKUP(Growing[[#This Row],[Seed Cup]], Cups[Id], Cups[Date Seeded]), IF(_xlpm.value="", "", _xlpm.value))</f>
        <v>Unknown</v>
      </c>
      <c r="I17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7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7" s="20" t="s">
        <v>14</v>
      </c>
      <c r="L17" s="17" t="s">
        <v>14</v>
      </c>
      <c r="M17" s="20" t="s">
        <v>374</v>
      </c>
      <c r="N17" s="17" t="s">
        <v>163</v>
      </c>
      <c r="O1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7" s="17" t="str">
        <f>IF(_xlfn.SINGLE(Growing[Growing Jar])="", "", TEXT(COUNTIF(Harvest[Growing Jar], _xlfn.SINGLE(Growing[Growing Jar])), "General"))</f>
        <v>1</v>
      </c>
      <c r="Q17" s="21" t="s">
        <v>606</v>
      </c>
      <c r="R17" s="17" t="s">
        <v>601</v>
      </c>
      <c r="S17" s="20" t="s">
        <v>14</v>
      </c>
      <c r="T17" s="37" t="s">
        <v>14</v>
      </c>
      <c r="U17" s="20" t="s">
        <v>14</v>
      </c>
      <c r="V17" s="20" t="s">
        <v>14</v>
      </c>
      <c r="W17" s="17" t="s">
        <v>14</v>
      </c>
      <c r="X17" s="17" t="s">
        <v>14</v>
      </c>
      <c r="Y17" s="37" t="str" cm="1">
        <f t="array" ref="Y17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7" s="37" t="s">
        <v>14</v>
      </c>
      <c r="AA17" s="20" t="s">
        <v>14</v>
      </c>
      <c r="AB17" s="20" t="s">
        <v>602</v>
      </c>
    </row>
    <row r="18" spans="1:28">
      <c r="A18" s="21" t="s">
        <v>409</v>
      </c>
      <c r="B18" s="21" t="s">
        <v>409</v>
      </c>
      <c r="C18" s="19" t="s">
        <v>409</v>
      </c>
      <c r="D18" s="17" t="str" cm="1">
        <f t="array" ref="D18">_xlfn.LET(_xlpm.value, _xlfn.XLOOKUP(Growing[[#This Row],[Seed Cup]], Cups[Id], Cups[Seed]), IF(_xlpm.value="", "", _xlpm.value))</f>
        <v>3057JP.65</v>
      </c>
      <c r="E18" s="17" t="str" cm="1">
        <f t="array" ref="E18">_xlfn.LET(_xlpm.value, _xlfn.XLOOKUP(Growing[[#This Row],[Seed]], Seeds[Seed], Seeds[Common Name]), IFERROR(_xlpm.value, ""))</f>
        <v>Red Butter Lettuce</v>
      </c>
      <c r="F18" s="17" t="str">
        <f>IF(Growing[[#This Row],[Growing Jar]]="None", "None", IF(Growing[[#This Row],[Growing Jar]]="", "", _xlfn.XLOOKUP(Growing[[#This Row],[Growing Jar]],Jars!A:A,Jars!C:C)))</f>
        <v>Home Sill Home</v>
      </c>
      <c r="G18" s="21" t="str" cm="1">
        <f t="array" aca="1" ref="G1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8" s="20" t="str" cm="1">
        <f t="array" ref="H18">_xlfn.LET(_xlpm.value, _xlfn.XLOOKUP(Growing[[#This Row],[Seed Cup]], Cups[Id], Cups[Date Seeded]), IF(_xlpm.value="", "", _xlpm.value))</f>
        <v>Unknown</v>
      </c>
      <c r="I18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8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8" s="20" t="s">
        <v>14</v>
      </c>
      <c r="L18" s="17" t="s">
        <v>14</v>
      </c>
      <c r="M18" s="20" t="s">
        <v>374</v>
      </c>
      <c r="N18" s="17" t="s">
        <v>163</v>
      </c>
      <c r="O1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8" s="17" t="str">
        <f>IF(_xlfn.SINGLE(Growing[Growing Jar])="", "", TEXT(COUNTIF(Harvest[Growing Jar], _xlfn.SINGLE(Growing[Growing Jar])), "General"))</f>
        <v>1</v>
      </c>
      <c r="Q18" s="21" t="s">
        <v>609</v>
      </c>
      <c r="R18" s="17" t="s">
        <v>601</v>
      </c>
      <c r="S18" s="20" t="s">
        <v>14</v>
      </c>
      <c r="T18" s="38" t="s">
        <v>14</v>
      </c>
      <c r="U18" s="20" t="s">
        <v>14</v>
      </c>
      <c r="V18" s="20" t="s">
        <v>14</v>
      </c>
      <c r="W18" s="17" t="s">
        <v>14</v>
      </c>
      <c r="X18" s="17" t="s">
        <v>14</v>
      </c>
      <c r="Y18" s="38" t="str" cm="1">
        <f t="array" ref="Y18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8" s="38" t="s">
        <v>14</v>
      </c>
      <c r="AA18" s="20" t="s">
        <v>14</v>
      </c>
      <c r="AB18" s="20" t="s">
        <v>611</v>
      </c>
    </row>
    <row r="19" spans="1:28">
      <c r="A19" s="21" t="s">
        <v>414</v>
      </c>
      <c r="B19" s="21" t="s">
        <v>414</v>
      </c>
      <c r="C19" s="19" t="s">
        <v>414</v>
      </c>
      <c r="D19" s="17" t="str" cm="1">
        <f t="array" ref="D19">_xlfn.LET(_xlpm.value, _xlfn.XLOOKUP(Growing[[#This Row],[Seed Cup]], Cups[Id], Cups[Seed]), IF(_xlpm.value="", "", _xlpm.value))</f>
        <v>3057JP.65</v>
      </c>
      <c r="E19" s="17" t="str" cm="1">
        <f t="array" ref="E19">_xlfn.LET(_xlpm.value, _xlfn.XLOOKUP(Growing[[#This Row],[Seed]], Seeds[Seed], Seeds[Common Name]), IFERROR(_xlpm.value, ""))</f>
        <v>Red Butter Lettuce</v>
      </c>
      <c r="F19" s="17" t="str">
        <f>IF(Growing[[#This Row],[Growing Jar]]="None", "None", IF(Growing[[#This Row],[Growing Jar]]="", "", _xlfn.XLOOKUP(Growing[[#This Row],[Growing Jar]],Jars!A:A,Jars!C:C)))</f>
        <v>Mr. Green, in the Hall, with the Jar (candlestick)</v>
      </c>
      <c r="G19" s="21" t="str" cm="1">
        <f t="array" aca="1" ref="G1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19" s="20" t="str" cm="1">
        <f t="array" ref="H19">_xlfn.LET(_xlpm.value, _xlfn.XLOOKUP(Growing[[#This Row],[Seed Cup]], Cups[Id], Cups[Date Seeded]), IF(_xlpm.value="", "", _xlpm.value))</f>
        <v>Unknown</v>
      </c>
      <c r="I19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19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19" s="20" t="s">
        <v>14</v>
      </c>
      <c r="L19" s="17" t="s">
        <v>14</v>
      </c>
      <c r="M19" s="20" t="s">
        <v>374</v>
      </c>
      <c r="N19" s="17" t="s">
        <v>163</v>
      </c>
      <c r="O1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19" s="17" t="str">
        <f>IF(_xlfn.SINGLE(Growing[Growing Jar])="", "", TEXT(COUNTIF(Harvest[Growing Jar], _xlfn.SINGLE(Growing[Growing Jar])), "General"))</f>
        <v>1</v>
      </c>
      <c r="Q19" s="21" t="s">
        <v>606</v>
      </c>
      <c r="R19" s="17" t="s">
        <v>601</v>
      </c>
      <c r="S19" s="20" t="s">
        <v>14</v>
      </c>
      <c r="T19" s="37" t="s">
        <v>14</v>
      </c>
      <c r="U19" s="20" t="s">
        <v>14</v>
      </c>
      <c r="V19" s="20" t="s">
        <v>14</v>
      </c>
      <c r="W19" s="17" t="s">
        <v>14</v>
      </c>
      <c r="X19" s="17" t="s">
        <v>14</v>
      </c>
      <c r="Y19" s="37" t="str" cm="1">
        <f t="array" ref="Y19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19" s="37" t="s">
        <v>14</v>
      </c>
      <c r="AA19" s="20" t="s">
        <v>14</v>
      </c>
      <c r="AB19" s="17" t="s">
        <v>602</v>
      </c>
    </row>
    <row r="20" spans="1:28">
      <c r="A20" s="21" t="s">
        <v>327</v>
      </c>
      <c r="B20" s="21" t="s">
        <v>327</v>
      </c>
      <c r="C20" s="19" t="s">
        <v>327</v>
      </c>
      <c r="D20" s="17" t="str" cm="1">
        <f t="array" ref="D20">_xlfn.LET(_xlpm.value, _xlfn.XLOOKUP(Growing[[#This Row],[Seed Cup]], Cups[Id], Cups[Seed]), IF(_xlpm.value="", "", _xlpm.value))</f>
        <v>3057JP.65</v>
      </c>
      <c r="E20" s="17" t="str" cm="1">
        <f t="array" ref="E20">_xlfn.LET(_xlpm.value, _xlfn.XLOOKUP(Growing[[#This Row],[Seed]], Seeds[Seed], Seeds[Common Name]), IFERROR(_xlpm.value, ""))</f>
        <v>Red Butter Lettuce</v>
      </c>
      <c r="F20" s="17" t="str">
        <f>IF(Growing[[#This Row],[Growing Jar]]="None", "None", IF(Growing[[#This Row],[Growing Jar]]="", "", _xlfn.XLOOKUP(Growing[[#This Row],[Growing Jar]],Jars!A:A,Jars!C:C)))</f>
        <v>These are a few of my favorite things</v>
      </c>
      <c r="G20" s="21" t="str" cm="1">
        <f t="array" aca="1" ref="G2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0" s="20" t="str" cm="1">
        <f t="array" ref="H20">_xlfn.LET(_xlpm.value, _xlfn.XLOOKUP(Growing[[#This Row],[Seed Cup]], Cups[Id], Cups[Date Seeded]), IF(_xlpm.value="", "", _xlpm.value))</f>
        <v>Unknown</v>
      </c>
      <c r="I20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0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0" s="20" t="s">
        <v>14</v>
      </c>
      <c r="L20" s="17" t="s">
        <v>14</v>
      </c>
      <c r="M20" s="20" t="s">
        <v>374</v>
      </c>
      <c r="N20" s="17" t="s">
        <v>163</v>
      </c>
      <c r="O2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0" s="17" t="str">
        <f>IF(_xlfn.SINGLE(Growing[Growing Jar])="", "", TEXT(COUNTIF(Harvest[Growing Jar], _xlfn.SINGLE(Growing[Growing Jar])), "General"))</f>
        <v>1</v>
      </c>
      <c r="Q20" s="21" t="s">
        <v>615</v>
      </c>
      <c r="R20" s="17" t="s">
        <v>601</v>
      </c>
      <c r="S20" s="20" t="s">
        <v>14</v>
      </c>
      <c r="T20" s="38" t="s">
        <v>14</v>
      </c>
      <c r="U20" s="20" t="s">
        <v>46</v>
      </c>
      <c r="V20" s="20" t="s">
        <v>36</v>
      </c>
      <c r="W20" s="17" t="s">
        <v>14</v>
      </c>
      <c r="X20" s="17" t="s">
        <v>14</v>
      </c>
      <c r="Y20" s="38" t="str" cm="1">
        <f t="array" ref="Y20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0" s="38" t="s">
        <v>14</v>
      </c>
      <c r="AA20" s="20" t="s">
        <v>14</v>
      </c>
    </row>
    <row r="21" spans="1:28">
      <c r="A21" s="21" t="s">
        <v>424</v>
      </c>
      <c r="B21" s="21" t="s">
        <v>424</v>
      </c>
      <c r="C21" s="19" t="s">
        <v>424</v>
      </c>
      <c r="D21" s="17" t="str" cm="1">
        <f t="array" ref="D21">_xlfn.LET(_xlpm.value, _xlfn.XLOOKUP(Growing[[#This Row],[Seed Cup]], Cups[Id], Cups[Seed]), IF(_xlpm.value="", "", _xlpm.value))</f>
        <v>3057JP.65</v>
      </c>
      <c r="E21" s="17" t="str" cm="1">
        <f t="array" ref="E21">_xlfn.LET(_xlpm.value, _xlfn.XLOOKUP(Growing[[#This Row],[Seed]], Seeds[Seed], Seeds[Common Name]), IFERROR(_xlpm.value, ""))</f>
        <v>Red Butter Lettuce</v>
      </c>
      <c r="F21" s="17" t="str">
        <f>IF(Growing[[#This Row],[Growing Jar]]="None", "None", IF(Growing[[#This Row],[Growing Jar]]="", "", _xlfn.XLOOKUP(Growing[[#This Row],[Growing Jar]],Jars!A:A,Jars!C:C)))</f>
        <v>You're the Best! A Crown!</v>
      </c>
      <c r="G21" s="21" t="str" cm="1">
        <f t="array" aca="1" ref="G2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1" s="20" t="str" cm="1">
        <f t="array" ref="H21">_xlfn.LET(_xlpm.value, _xlfn.XLOOKUP(Growing[[#This Row],[Seed Cup]], Cups[Id], Cups[Date Seeded]), IF(_xlpm.value="", "", _xlpm.value))</f>
        <v>Unknown</v>
      </c>
      <c r="I21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1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1" s="20" t="s">
        <v>14</v>
      </c>
      <c r="L21" s="17" t="s">
        <v>14</v>
      </c>
      <c r="M21" s="20" t="s">
        <v>374</v>
      </c>
      <c r="N21" s="17" t="s">
        <v>163</v>
      </c>
      <c r="O2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1" s="17" t="str">
        <f>IF(_xlfn.SINGLE(Growing[Growing Jar])="", "", TEXT(COUNTIF(Harvest[Growing Jar], _xlfn.SINGLE(Growing[Growing Jar])), "General"))</f>
        <v>1</v>
      </c>
      <c r="Q21" s="21" t="s">
        <v>609</v>
      </c>
      <c r="R21" s="17" t="s">
        <v>601</v>
      </c>
      <c r="S21" s="20" t="s">
        <v>14</v>
      </c>
      <c r="T21" s="37" t="s">
        <v>14</v>
      </c>
      <c r="U21" s="20" t="s">
        <v>14</v>
      </c>
      <c r="V21" s="20" t="s">
        <v>14</v>
      </c>
      <c r="W21" s="17" t="s">
        <v>14</v>
      </c>
      <c r="X21" s="17" t="s">
        <v>14</v>
      </c>
      <c r="Y21" s="37" t="str" cm="1">
        <f t="array" ref="Y21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1" s="37" t="s">
        <v>14</v>
      </c>
      <c r="AA21" s="20" t="s">
        <v>14</v>
      </c>
      <c r="AB21" s="20" t="s">
        <v>611</v>
      </c>
    </row>
    <row r="22" spans="1:28">
      <c r="A22" s="21" t="s">
        <v>428</v>
      </c>
      <c r="B22" s="21" t="s">
        <v>428</v>
      </c>
      <c r="C22" s="19" t="s">
        <v>428</v>
      </c>
      <c r="D22" s="20" t="str" cm="1">
        <f t="array" ref="D22">_xlfn.LET(_xlpm.value, _xlfn.XLOOKUP(Growing[[#This Row],[Seed Cup]], Cups[Id], Cups[Seed]), IF(_xlpm.value="", "", _xlpm.value))</f>
        <v>3057JP.65</v>
      </c>
      <c r="E22" s="20" t="str" cm="1">
        <f t="array" ref="E22">_xlfn.LET(_xlpm.value, _xlfn.XLOOKUP(Growing[[#This Row],[Seed]], Seeds[Seed], Seeds[Common Name]), IFERROR(_xlpm.value, ""))</f>
        <v>Red Butter Lettuce</v>
      </c>
      <c r="F22" s="17" t="str">
        <f>IF(Growing[[#This Row],[Growing Jar]]="None", "None", IF(Growing[[#This Row],[Growing Jar]]="", "", _xlfn.XLOOKUP(Growing[[#This Row],[Growing Jar]],Jars!A:A,Jars!C:C)))</f>
        <v>Breakfast and Move Things</v>
      </c>
      <c r="G22" s="21" t="str" cm="1">
        <f t="array" aca="1" ref="G2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2" s="20" t="str" cm="1">
        <f t="array" ref="H22">_xlfn.LET(_xlpm.value, _xlfn.XLOOKUP(Growing[[#This Row],[Seed Cup]], Cups[Id], Cups[Date Seeded]), IF(_xlpm.value="", "", _xlpm.value))</f>
        <v>Unknown</v>
      </c>
      <c r="I22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2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2" s="20" t="s">
        <v>14</v>
      </c>
      <c r="L22" s="17" t="s">
        <v>14</v>
      </c>
      <c r="M22" s="20" t="s">
        <v>374</v>
      </c>
      <c r="N22" s="17" t="s">
        <v>163</v>
      </c>
      <c r="O2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2" s="17" t="str">
        <f>IF(_xlfn.SINGLE(Growing[Growing Jar])="", "", TEXT(COUNTIF(Harvest[Growing Jar], _xlfn.SINGLE(Growing[Growing Jar])), "General"))</f>
        <v>1</v>
      </c>
      <c r="Q22" s="21" t="s">
        <v>615</v>
      </c>
      <c r="R22" s="17" t="s">
        <v>601</v>
      </c>
      <c r="S22" s="20" t="s">
        <v>14</v>
      </c>
      <c r="T22" s="38" t="s">
        <v>14</v>
      </c>
      <c r="U22" s="20" t="s">
        <v>46</v>
      </c>
      <c r="V22" s="20" t="s">
        <v>29</v>
      </c>
      <c r="W22" s="17" t="s">
        <v>14</v>
      </c>
      <c r="X22" s="17" t="s">
        <v>14</v>
      </c>
      <c r="Y22" s="38" t="str" cm="1">
        <f t="array" ref="Y22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2" s="38" t="s">
        <v>14</v>
      </c>
      <c r="AA22" s="20" t="s">
        <v>14</v>
      </c>
    </row>
    <row r="23" spans="1:28">
      <c r="A23" s="21" t="s">
        <v>432</v>
      </c>
      <c r="B23" s="21" t="s">
        <v>432</v>
      </c>
      <c r="C23" s="19" t="s">
        <v>432</v>
      </c>
      <c r="D23" s="20" t="str" cm="1">
        <f t="array" ref="D23">_xlfn.LET(_xlpm.value, _xlfn.XLOOKUP(Growing[[#This Row],[Seed Cup]], Cups[Id], Cups[Seed]), IF(_xlpm.value="", "", _xlpm.value))</f>
        <v>3057JP.65</v>
      </c>
      <c r="E23" s="20" t="str" cm="1">
        <f t="array" ref="E23">_xlfn.LET(_xlpm.value, _xlfn.XLOOKUP(Growing[[#This Row],[Seed]], Seeds[Seed], Seeds[Common Name]), IFERROR(_xlpm.value, ""))</f>
        <v>Red Butter Lettuce</v>
      </c>
      <c r="F23" s="17" t="str">
        <f>IF(Growing[[#This Row],[Growing Jar]]="None", "None", IF(Growing[[#This Row],[Growing Jar]]="", "", _xlfn.XLOOKUP(Growing[[#This Row],[Growing Jar]],Jars!A:A,Jars!C:C)))</f>
        <v>Dancing on my Shelf</v>
      </c>
      <c r="G23" s="21" t="str" cm="1">
        <f t="array" aca="1" ref="G2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3" s="20" t="str" cm="1">
        <f t="array" ref="H23">_xlfn.LET(_xlpm.value, _xlfn.XLOOKUP(Growing[[#This Row],[Seed Cup]], Cups[Id], Cups[Date Seeded]), IF(_xlpm.value="", "", _xlpm.value))</f>
        <v>Unknown</v>
      </c>
      <c r="I23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3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3" s="20" t="s">
        <v>14</v>
      </c>
      <c r="L23" s="17" t="s">
        <v>14</v>
      </c>
      <c r="M23" s="20" t="s">
        <v>374</v>
      </c>
      <c r="N23" s="17" t="s">
        <v>163</v>
      </c>
      <c r="O2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3" s="17" t="str">
        <f>IF(_xlfn.SINGLE(Growing[Growing Jar])="", "", TEXT(COUNTIF(Harvest[Growing Jar], _xlfn.SINGLE(Growing[Growing Jar])), "General"))</f>
        <v>1</v>
      </c>
      <c r="Q23" s="21" t="s">
        <v>609</v>
      </c>
      <c r="R23" s="17" t="s">
        <v>601</v>
      </c>
      <c r="S23" s="20" t="s">
        <v>14</v>
      </c>
      <c r="T23" s="37" t="s">
        <v>14</v>
      </c>
      <c r="U23" s="20" t="s">
        <v>14</v>
      </c>
      <c r="V23" s="20" t="s">
        <v>14</v>
      </c>
      <c r="W23" s="17" t="s">
        <v>14</v>
      </c>
      <c r="X23" s="17" t="s">
        <v>14</v>
      </c>
      <c r="Y23" s="37" t="str" cm="1">
        <f t="array" ref="Y23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3" s="37" t="s">
        <v>14</v>
      </c>
      <c r="AA23" s="20" t="s">
        <v>14</v>
      </c>
      <c r="AB23" s="20" t="s">
        <v>611</v>
      </c>
    </row>
    <row r="24" spans="1:28">
      <c r="A24" s="21" t="s">
        <v>437</v>
      </c>
      <c r="B24" s="21" t="s">
        <v>437</v>
      </c>
      <c r="C24" s="19" t="s">
        <v>437</v>
      </c>
      <c r="D24" s="17" t="str" cm="1">
        <f t="array" ref="D24">_xlfn.LET(_xlpm.value, _xlfn.XLOOKUP(Growing[[#This Row],[Seed Cup]], Cups[Id], Cups[Seed]), IF(_xlpm.value="", "", _xlpm.value))</f>
        <v>3059JP.65</v>
      </c>
      <c r="E24" s="17" t="str" cm="1">
        <f t="array" ref="E24">_xlfn.LET(_xlpm.value, _xlfn.XLOOKUP(Growing[[#This Row],[Seed]], Seeds[Seed], Seeds[Common Name]), IFERROR(_xlpm.value, ""))</f>
        <v>Red Oakleaf Lettuce</v>
      </c>
      <c r="F24" s="17" t="str">
        <f>IF(Growing[[#This Row],[Growing Jar]]="None", "None", IF(Growing[[#This Row],[Growing Jar]]="", "", _xlfn.XLOOKUP(Growing[[#This Row],[Growing Jar]],Jars!A:A,Jars!C:C)))</f>
        <v>Look Out and-Grow!</v>
      </c>
      <c r="G24" s="21" t="str" cm="1">
        <f t="array" aca="1" ref="G2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4" s="20" t="str" cm="1">
        <f t="array" ref="H24">_xlfn.LET(_xlpm.value, _xlfn.XLOOKUP(Growing[[#This Row],[Seed Cup]], Cups[Id], Cups[Date Seeded]), IF(_xlpm.value="", "", _xlpm.value))</f>
        <v>Unknown</v>
      </c>
      <c r="I24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4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4" s="20" t="s">
        <v>14</v>
      </c>
      <c r="L24" s="17" t="s">
        <v>14</v>
      </c>
      <c r="M24" s="20" t="s">
        <v>374</v>
      </c>
      <c r="N24" s="17" t="s">
        <v>163</v>
      </c>
      <c r="O2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4" s="17" t="str">
        <f>IF(_xlfn.SINGLE(Growing[Growing Jar])="", "", TEXT(COUNTIF(Harvest[Growing Jar], _xlfn.SINGLE(Growing[Growing Jar])), "General"))</f>
        <v>1</v>
      </c>
      <c r="Q24" s="21" t="s">
        <v>609</v>
      </c>
      <c r="R24" s="17" t="s">
        <v>601</v>
      </c>
      <c r="S24" s="20" t="s">
        <v>14</v>
      </c>
      <c r="T24" s="38" t="s">
        <v>14</v>
      </c>
      <c r="U24" s="20" t="s">
        <v>14</v>
      </c>
      <c r="V24" s="20" t="s">
        <v>14</v>
      </c>
      <c r="W24" s="17" t="s">
        <v>14</v>
      </c>
      <c r="X24" s="17" t="s">
        <v>14</v>
      </c>
      <c r="Y24" s="38" t="str" cm="1">
        <f t="array" ref="Y24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4" s="38" t="s">
        <v>14</v>
      </c>
      <c r="AA24" s="20" t="s">
        <v>14</v>
      </c>
      <c r="AB24" s="20" t="s">
        <v>611</v>
      </c>
    </row>
    <row r="25" spans="1:28">
      <c r="A25" s="21" t="s">
        <v>442</v>
      </c>
      <c r="B25" s="21" t="s">
        <v>442</v>
      </c>
      <c r="C25" s="19" t="s">
        <v>442</v>
      </c>
      <c r="D25" s="17" t="str" cm="1">
        <f t="array" ref="D25">_xlfn.LET(_xlpm.value, _xlfn.XLOOKUP(Growing[[#This Row],[Seed Cup]], Cups[Id], Cups[Seed]), IF(_xlpm.value="", "", _xlpm.value))</f>
        <v>2178GP.53</v>
      </c>
      <c r="E25" s="17" t="str" cm="1">
        <f t="array" ref="E25">_xlfn.LET(_xlpm.value, _xlfn.XLOOKUP(Growing[[#This Row],[Seed]], Seeds[Seed], Seeds[Common Name]), IFERROR(_xlpm.value, ""))</f>
        <v>Nufar Basil</v>
      </c>
      <c r="F25" s="17" t="str">
        <f>IF(Growing[[#This Row],[Growing Jar]]="None", "None", IF(Growing[[#This Row],[Growing Jar]]="", "", _xlfn.XLOOKUP(Growing[[#This Row],[Growing Jar]],Jars!A:A,Jars!C:C)))</f>
        <v>Green Queen</v>
      </c>
      <c r="G25" s="21" t="str" cm="1">
        <f t="array" aca="1" ref="G2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5" s="20" t="str" cm="1">
        <f t="array" ref="H25">_xlfn.LET(_xlpm.value, _xlfn.XLOOKUP(Growing[[#This Row],[Seed Cup]], Cups[Id], Cups[Date Seeded]), IF(_xlpm.value="", "", _xlpm.value))</f>
        <v>Unknown</v>
      </c>
      <c r="I25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5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5" s="20" t="s">
        <v>14</v>
      </c>
      <c r="L25" s="17" t="s">
        <v>14</v>
      </c>
      <c r="M25" s="20" t="s">
        <v>374</v>
      </c>
      <c r="N25" s="17" t="s">
        <v>163</v>
      </c>
      <c r="O2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5" s="17" t="str">
        <f>IF(_xlfn.SINGLE(Growing[Growing Jar])="", "", TEXT(COUNTIF(Harvest[Growing Jar], _xlfn.SINGLE(Growing[Growing Jar])), "General"))</f>
        <v>0</v>
      </c>
      <c r="Q25" s="20" t="s">
        <v>621</v>
      </c>
      <c r="R25" s="20" t="s">
        <v>622</v>
      </c>
      <c r="S25" s="20" t="s">
        <v>374</v>
      </c>
      <c r="T25" s="37" t="s">
        <v>14</v>
      </c>
      <c r="U25" s="20" t="s">
        <v>14</v>
      </c>
      <c r="V25" s="20" t="s">
        <v>14</v>
      </c>
      <c r="W25" s="20" t="s">
        <v>14</v>
      </c>
      <c r="X25" s="20" t="s">
        <v>14</v>
      </c>
      <c r="Y25" s="37" t="str" cm="1">
        <f t="array" ref="Y25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5" s="37" t="s">
        <v>14</v>
      </c>
      <c r="AA25" s="20" t="s">
        <v>374</v>
      </c>
      <c r="AB25" s="17" t="s">
        <v>728</v>
      </c>
    </row>
    <row r="26" spans="1:28">
      <c r="A26" s="21" t="s">
        <v>446</v>
      </c>
      <c r="B26" s="21" t="s">
        <v>446</v>
      </c>
      <c r="C26" s="19" t="s">
        <v>446</v>
      </c>
      <c r="D26" s="17" t="str" cm="1">
        <f t="array" ref="D26">_xlfn.LET(_xlpm.value, _xlfn.XLOOKUP(Growing[[#This Row],[Seed Cup]], Cups[Id], Cups[Seed]), IF(_xlpm.value="", "", _xlpm.value))</f>
        <v>2178GP.53</v>
      </c>
      <c r="E26" s="17" t="str" cm="1">
        <f t="array" ref="E26">_xlfn.LET(_xlpm.value, _xlfn.XLOOKUP(Growing[[#This Row],[Seed]], Seeds[Seed], Seeds[Common Name]), IFERROR(_xlpm.value, ""))</f>
        <v>Nufar Basil</v>
      </c>
      <c r="F26" s="17" t="str">
        <f>IF(Growing[[#This Row],[Growing Jar]]="None", "None", IF(Growing[[#This Row],[Growing Jar]]="", "", _xlfn.XLOOKUP(Growing[[#This Row],[Growing Jar]],Jars!A:A,Jars!C:C)))</f>
        <v>My Cat Ate My Lettuce</v>
      </c>
      <c r="G26" s="21" t="str" cm="1">
        <f t="array" aca="1" ref="G2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6" s="20" t="str" cm="1">
        <f t="array" ref="H26">_xlfn.LET(_xlpm.value, _xlfn.XLOOKUP(Growing[[#This Row],[Seed Cup]], Cups[Id], Cups[Date Seeded]), IF(_xlpm.value="", "", _xlpm.value))</f>
        <v>Unknown</v>
      </c>
      <c r="I26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6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6" s="20" t="s">
        <v>14</v>
      </c>
      <c r="L26" s="17" t="s">
        <v>14</v>
      </c>
      <c r="M26" s="20" t="s">
        <v>374</v>
      </c>
      <c r="N26" s="17" t="s">
        <v>163</v>
      </c>
      <c r="O2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6" s="17" t="str">
        <f>IF(_xlfn.SINGLE(Growing[Growing Jar])="", "", TEXT(COUNTIF(Harvest[Growing Jar], _xlfn.SINGLE(Growing[Growing Jar])), "General"))</f>
        <v>1</v>
      </c>
      <c r="Q26" s="21" t="s">
        <v>609</v>
      </c>
      <c r="R26" s="17" t="s">
        <v>601</v>
      </c>
      <c r="S26" s="20" t="s">
        <v>14</v>
      </c>
      <c r="T26" s="38" t="s">
        <v>14</v>
      </c>
      <c r="U26" s="20" t="s">
        <v>14</v>
      </c>
      <c r="V26" s="20" t="s">
        <v>14</v>
      </c>
      <c r="W26" s="17" t="s">
        <v>14</v>
      </c>
      <c r="X26" s="17" t="s">
        <v>14</v>
      </c>
      <c r="Y26" s="38" t="str" cm="1">
        <f t="array" ref="Y26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6" s="38" t="s">
        <v>14</v>
      </c>
      <c r="AA26" s="20" t="s">
        <v>14</v>
      </c>
      <c r="AB26" s="17" t="s">
        <v>611</v>
      </c>
    </row>
    <row r="27" spans="1:28">
      <c r="A27" s="21" t="s">
        <v>450</v>
      </c>
      <c r="B27" s="21" t="s">
        <v>450</v>
      </c>
      <c r="C27" s="19" t="s">
        <v>450</v>
      </c>
      <c r="D27" s="17" t="str" cm="1">
        <f t="array" ref="D27">_xlfn.LET(_xlpm.value, _xlfn.XLOOKUP(Growing[[#This Row],[Seed Cup]], Cups[Id], Cups[Seed]), IF(_xlpm.value="", "", _xlpm.value))</f>
        <v>2178GP.53</v>
      </c>
      <c r="E27" s="17" t="str" cm="1">
        <f t="array" ref="E27">_xlfn.LET(_xlpm.value, _xlfn.XLOOKUP(Growing[[#This Row],[Seed]], Seeds[Seed], Seeds[Common Name]), IFERROR(_xlpm.value, ""))</f>
        <v>Nufar Basil</v>
      </c>
      <c r="F27" s="17" t="str">
        <f>IF(Growing[[#This Row],[Growing Jar]]="None", "None", IF(Growing[[#This Row],[Growing Jar]]="", "", _xlfn.XLOOKUP(Growing[[#This Row],[Growing Jar]],Jars!A:A,Jars!C:C)))</f>
        <v>Buddy</v>
      </c>
      <c r="G27" s="21" t="str" cm="1">
        <f t="array" aca="1" ref="G2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27" s="20" t="str" cm="1">
        <f t="array" ref="H27">_xlfn.LET(_xlpm.value, _xlfn.XLOOKUP(Growing[[#This Row],[Seed Cup]], Cups[Id], Cups[Date Seeded]), IF(_xlpm.value="", "", _xlpm.value))</f>
        <v>Unknown</v>
      </c>
      <c r="I27" s="20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Unknown</v>
      </c>
      <c r="J27" s="20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Unknown</v>
      </c>
      <c r="K27" s="20" t="s">
        <v>14</v>
      </c>
      <c r="L27" s="17" t="s">
        <v>14</v>
      </c>
      <c r="M27" s="20" t="s">
        <v>374</v>
      </c>
      <c r="N27" s="17" t="s">
        <v>163</v>
      </c>
      <c r="O2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Unknown</v>
      </c>
      <c r="P27" s="17" t="str">
        <f>IF(_xlfn.SINGLE(Growing[Growing Jar])="", "", TEXT(COUNTIF(Harvest[Growing Jar], _xlfn.SINGLE(Growing[Growing Jar])), "General"))</f>
        <v>0</v>
      </c>
      <c r="Q27" s="19" t="s">
        <v>621</v>
      </c>
      <c r="R27" s="20" t="s">
        <v>622</v>
      </c>
      <c r="S27" s="20" t="s">
        <v>374</v>
      </c>
      <c r="T27" s="37" t="s">
        <v>14</v>
      </c>
      <c r="U27" s="20" t="s">
        <v>14</v>
      </c>
      <c r="V27" s="20" t="s">
        <v>14</v>
      </c>
      <c r="W27" s="20" t="s">
        <v>14</v>
      </c>
      <c r="X27" s="20" t="s">
        <v>14</v>
      </c>
      <c r="Y27" s="37" t="str" cm="1">
        <f t="array" ref="Y27">_xlfn.LET(_xlpm.root_mass, _xlfn.SINGLE(Growing[Root Dry Mass (g)]), IF(_xlpm.root_mass="", "", IF(_xlpm.root_mass="None", "None", IF(_xlpm.root_mass="Unknown", "Unknown", _xlpm.root_mass / _xlfn.SINGLE(Growing[Stem Dry Mass (g)])))))</f>
        <v>Unknown</v>
      </c>
      <c r="Z27" s="37" t="s">
        <v>14</v>
      </c>
      <c r="AA27" s="20" t="s">
        <v>374</v>
      </c>
    </row>
    <row r="28" spans="1:28">
      <c r="A28" s="21" t="s">
        <v>476</v>
      </c>
      <c r="B28" s="21" t="s">
        <v>476</v>
      </c>
      <c r="C28" s="19" t="s">
        <v>456</v>
      </c>
      <c r="D28" s="17" t="str" cm="1">
        <f t="array" ref="D28">_xlfn.LET(_xlpm.value, _xlfn.XLOOKUP(Growing[[#This Row],[Seed Cup]], Cups[Id], Cups[Seed]), IF(_xlpm.value="", "", _xlpm.value))</f>
        <v>2178GP.53</v>
      </c>
      <c r="E28" s="17" t="str" cm="1">
        <f t="array" ref="E28">_xlfn.LET(_xlpm.value, _xlfn.XLOOKUP(Growing[[#This Row],[Seed]], Seeds[Seed], Seeds[Common Name]), IFERROR(_xlpm.value, ""))</f>
        <v>Nufar Basil</v>
      </c>
      <c r="F28" s="17" t="str">
        <f>IF(Growing[[#This Row],[Growing Jar]]="None", "None", IF(Growing[[#This Row],[Growing Jar]]="", "", _xlfn.XLOOKUP(Growing[[#This Row],[Growing Jar]],Jars!A:A,Jars!C:C)))</f>
        <v>Duck</v>
      </c>
      <c r="G28" s="21" t="str" cm="1">
        <f t="array" aca="1" ref="G2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28" s="21" t="str" cm="1">
        <f t="array" ref="H28">_xlfn.LET(_xlpm.value, _xlfn.XLOOKUP(Growing[[#This Row],[Seed Cup]], Cups[Id], Cups[Date Seeded]), IF(_xlpm.value="", "", _xlpm.value))</f>
        <v>2026-08-28</v>
      </c>
      <c r="I28" s="21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2026-09-02</v>
      </c>
      <c r="J28" s="21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2026-09-07</v>
      </c>
      <c r="K28" s="21" t="s">
        <v>627</v>
      </c>
      <c r="L28" s="17" t="s">
        <v>14</v>
      </c>
      <c r="M28" s="20" t="s">
        <v>374</v>
      </c>
      <c r="N28" s="17" t="s">
        <v>163</v>
      </c>
      <c r="O2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2026-10-14</v>
      </c>
      <c r="P28" s="17" t="str">
        <f>IF(_xlfn.SINGLE(Growing[Growing Jar])="", "", TEXT(COUNTIF(Harvest[Growing Jar], _xlfn.SINGLE(Growing[Growing Jar])), "General"))</f>
        <v>0</v>
      </c>
      <c r="T28" s="39"/>
      <c r="Y28" s="39" t="str" cm="1">
        <f t="array" ref="Y28">_xlfn.LET(_xlpm.root_mass, _xlfn.SINGLE(Growing[Root Dry Mass (g)]), IF(_xlpm.root_mass="", "", IF(_xlpm.root_mass="None", "None", IF(_xlpm.root_mass="Unknown", "Unknown", _xlpm.root_mass / _xlfn.SINGLE(Growing[Stem Dry Mass (g)])))))</f>
        <v/>
      </c>
      <c r="Z28" s="39"/>
    </row>
    <row r="29" spans="1:28">
      <c r="A29" s="19" t="s">
        <v>480</v>
      </c>
      <c r="B29" s="19" t="s">
        <v>456</v>
      </c>
      <c r="C29" s="19" t="s">
        <v>463</v>
      </c>
      <c r="D29" s="17" t="str" cm="1">
        <f t="array" ref="D29">_xlfn.LET(_xlpm.value, _xlfn.XLOOKUP(Growing[[#This Row],[Seed Cup]], Cups[Id], Cups[Seed]), IF(_xlpm.value="", "", _xlpm.value))</f>
        <v>2178GP.53</v>
      </c>
      <c r="E29" s="17" t="str" cm="1">
        <f t="array" ref="E29">_xlfn.LET(_xlpm.value, _xlfn.XLOOKUP(Growing[[#This Row],[Seed]], Seeds[Seed], Seeds[Common Name]), IFERROR(_xlpm.value, ""))</f>
        <v>Nufar Basil</v>
      </c>
      <c r="F29" s="17" t="str">
        <f>IF(Growing[[#This Row],[Growing Jar]]="None", "None", IF(Growing[[#This Row],[Growing Jar]]="", "", _xlfn.XLOOKUP(Growing[[#This Row],[Growing Jar]],Jars!A:A,Jars!C:C)))</f>
        <v>Goose</v>
      </c>
      <c r="G29" s="19" t="str" cm="1">
        <f t="array" aca="1" ref="G2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29" s="19" t="str" cm="1">
        <f t="array" ref="H29">_xlfn.LET(_xlpm.value, _xlfn.XLOOKUP(Growing[[#This Row],[Seed Cup]], Cups[Id], Cups[Date Seeded]), IF(_xlpm.value="", "", _xlpm.value))</f>
        <v>2026-08-28</v>
      </c>
      <c r="I29" s="19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2026-09-02</v>
      </c>
      <c r="J29" s="19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2026-09-07</v>
      </c>
      <c r="K29" s="21" t="s">
        <v>627</v>
      </c>
      <c r="L29" s="17" t="s">
        <v>14</v>
      </c>
      <c r="M29" s="21" t="s">
        <v>628</v>
      </c>
      <c r="N29" s="17" t="s">
        <v>163</v>
      </c>
      <c r="O2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2026-10-14</v>
      </c>
      <c r="P29" s="17" t="str">
        <f>IF(_xlfn.SINGLE(Growing[Growing Jar])="", "", TEXT(COUNTIF(Harvest[Growing Jar], _xlfn.SINGLE(Growing[Growing Jar])), "General"))</f>
        <v>1</v>
      </c>
      <c r="T29" s="40"/>
      <c r="Y29" s="40" t="str" cm="1">
        <f t="array" ref="Y29">_xlfn.LET(_xlpm.root_mass, _xlfn.SINGLE(Growing[Root Dry Mass (g)]), IF(_xlpm.root_mass="", "", IF(_xlpm.root_mass="None", "None", IF(_xlpm.root_mass="Unknown", "Unknown", _xlpm.root_mass / _xlfn.SINGLE(Growing[Stem Dry Mass (g)])))))</f>
        <v/>
      </c>
      <c r="Z29" s="40"/>
    </row>
    <row r="30" spans="1:28">
      <c r="A30" s="19" t="s">
        <v>484</v>
      </c>
      <c r="B30" s="19" t="s">
        <v>495</v>
      </c>
      <c r="C30" s="19" t="s">
        <v>468</v>
      </c>
      <c r="D30" s="17" t="str" cm="1">
        <f t="array" ref="D30">_xlfn.LET(_xlpm.value, _xlfn.XLOOKUP(Growing[[#This Row],[Seed Cup]], Cups[Id], Cups[Seed]), IF(_xlpm.value="", "", _xlpm.value))</f>
        <v>2178GP.53</v>
      </c>
      <c r="E30" s="17" t="str" cm="1">
        <f t="array" ref="E30">_xlfn.LET(_xlpm.value, _xlfn.XLOOKUP(Growing[[#This Row],[Seed]], Seeds[Seed], Seeds[Common Name]), IFERROR(_xlpm.value, ""))</f>
        <v>Nufar Basil</v>
      </c>
      <c r="F30" s="17" t="str">
        <f>IF(Growing[[#This Row],[Growing Jar]]="None", "None", IF(Growing[[#This Row],[Growing Jar]]="", "", _xlfn.XLOOKUP(Growing[[#This Row],[Growing Jar]],Jars!A:A,Jars!C:C)))</f>
        <v>Duck</v>
      </c>
      <c r="G30" s="19" t="str" cm="1">
        <f t="array" aca="1" ref="G3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0" s="17" t="str" cm="1">
        <f t="array" ref="H30">_xlfn.LET(_xlpm.value, _xlfn.XLOOKUP(Growing[[#This Row],[Seed Cup]], Cups[Id], Cups[Date Seeded]), IF(_xlpm.value="", "", _xlpm.value))</f>
        <v>2026-09-01</v>
      </c>
      <c r="I3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2026-09-06</v>
      </c>
      <c r="J3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2026-09-11</v>
      </c>
      <c r="K30" s="21" t="s">
        <v>630</v>
      </c>
      <c r="L30" s="17" t="s">
        <v>14</v>
      </c>
      <c r="M30" s="21" t="s">
        <v>515</v>
      </c>
      <c r="N30" s="17" t="s">
        <v>163</v>
      </c>
      <c r="O3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2026-10-18</v>
      </c>
      <c r="P30" s="17" t="str">
        <f>IF(_xlfn.SINGLE(Growing[Growing Jar])="", "", TEXT(COUNTIF(Harvest[Growing Jar], _xlfn.SINGLE(Growing[Growing Jar])), "General"))</f>
        <v>0</v>
      </c>
      <c r="T30" s="39"/>
      <c r="Y30" s="39" t="str" cm="1">
        <f t="array" ref="Y30">_xlfn.LET(_xlpm.root_mass, _xlfn.SINGLE(Growing[Root Dry Mass (g)]), IF(_xlpm.root_mass="", "", IF(_xlpm.root_mass="None", "None", IF(_xlpm.root_mass="Unknown", "Unknown", _xlpm.root_mass / _xlfn.SINGLE(Growing[Stem Dry Mass (g)])))))</f>
        <v/>
      </c>
      <c r="Z30" s="39"/>
    </row>
    <row r="31" spans="1:28">
      <c r="A31" s="21" t="s">
        <v>487</v>
      </c>
      <c r="B31" s="19" t="s">
        <v>463</v>
      </c>
      <c r="C31" s="19" t="s">
        <v>472</v>
      </c>
      <c r="D31" s="17" t="str" cm="1">
        <f t="array" ref="D31">_xlfn.LET(_xlpm.value, _xlfn.XLOOKUP(Growing[[#This Row],[Seed Cup]], Cups[Id], Cups[Seed]), IF(_xlpm.value="", "", _xlpm.value))</f>
        <v>2178GP.53</v>
      </c>
      <c r="E31" s="17" t="str" cm="1">
        <f t="array" ref="E31">_xlfn.LET(_xlpm.value, _xlfn.XLOOKUP(Growing[[#This Row],[Seed]], Seeds[Seed], Seeds[Common Name]), IFERROR(_xlpm.value, ""))</f>
        <v>Nufar Basil</v>
      </c>
      <c r="F31" s="17" t="str">
        <f>IF(Growing[[#This Row],[Growing Jar]]="None", "None", IF(Growing[[#This Row],[Growing Jar]]="", "", _xlfn.XLOOKUP(Growing[[#This Row],[Growing Jar]],Jars!A:A,Jars!C:C)))</f>
        <v>Duck</v>
      </c>
      <c r="G31" s="19" t="str" cm="1">
        <f t="array" aca="1" ref="G3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1" s="19" t="str" cm="1">
        <f t="array" ref="H31">_xlfn.LET(_xlpm.value, _xlfn.XLOOKUP(Growing[[#This Row],[Seed Cup]], Cups[Id], Cups[Date Seeded]), IF(_xlpm.value="", "", _xlpm.value))</f>
        <v>2026-09-04</v>
      </c>
      <c r="I3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2026-09-09</v>
      </c>
      <c r="J3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2026-09-14</v>
      </c>
      <c r="K31" s="19" t="s">
        <v>628</v>
      </c>
      <c r="L31" s="17" t="s">
        <v>14</v>
      </c>
      <c r="M31" s="19" t="s">
        <v>631</v>
      </c>
      <c r="N31" s="17" t="s">
        <v>163</v>
      </c>
      <c r="O3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2026-10-20</v>
      </c>
      <c r="P31" s="17" t="str">
        <f>IF(_xlfn.SINGLE(Growing[Growing Jar])="", "", TEXT(COUNTIF(Harvest[Growing Jar], _xlfn.SINGLE(Growing[Growing Jar])), "General"))</f>
        <v>0</v>
      </c>
      <c r="T31" s="40"/>
      <c r="Y31" s="40" t="str" cm="1">
        <f t="array" ref="Y31">_xlfn.LET(_xlpm.root_mass, _xlfn.SINGLE(Growing[Root Dry Mass (g)]), IF(_xlpm.root_mass="", "", IF(_xlpm.root_mass="None", "None", IF(_xlpm.root_mass="Unknown", "Unknown", _xlpm.root_mass / _xlfn.SINGLE(Growing[Stem Dry Mass (g)])))))</f>
        <v/>
      </c>
      <c r="Z31" s="40"/>
    </row>
    <row r="32" spans="1:28">
      <c r="A32" s="19" t="s">
        <v>491</v>
      </c>
      <c r="B32" s="19" t="s">
        <v>491</v>
      </c>
      <c r="C32" s="19" t="s">
        <v>476</v>
      </c>
      <c r="D32" s="17" t="str" cm="1">
        <f t="array" ref="D32">_xlfn.LET(_xlpm.value, _xlfn.XLOOKUP(Growing[[#This Row],[Seed Cup]], Cups[Id], Cups[Seed]), IF(_xlpm.value="", "", _xlpm.value))</f>
        <v>2178GP.53</v>
      </c>
      <c r="E32" s="17" t="str" cm="1">
        <f t="array" ref="E32">_xlfn.LET(_xlpm.value, _xlfn.XLOOKUP(Growing[[#This Row],[Seed]], Seeds[Seed], Seeds[Common Name]), IFERROR(_xlpm.value, ""))</f>
        <v>Nufar Basil</v>
      </c>
      <c r="F32" s="17" t="str">
        <f>IF(Growing[[#This Row],[Growing Jar]]="None", "None", IF(Growing[[#This Row],[Growing Jar]]="", "", _xlfn.XLOOKUP(Growing[[#This Row],[Growing Jar]],Jars!A:A,Jars!C:C)))</f>
        <v>My Cat Ate My Lettuce</v>
      </c>
      <c r="G32" s="19" t="str" cm="1">
        <f t="array" aca="1" ref="G3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2" s="21" t="str" cm="1">
        <f t="array" ref="H32">_xlfn.LET(_xlpm.value, _xlfn.XLOOKUP(Growing[[#This Row],[Seed Cup]], Cups[Id], Cups[Date Seeded]), IF(_xlpm.value="", "", _xlpm.value))</f>
        <v>2026-09-04</v>
      </c>
      <c r="I3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2026-09-09</v>
      </c>
      <c r="J3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2026-09-14</v>
      </c>
      <c r="K32" s="21" t="s">
        <v>628</v>
      </c>
      <c r="L32" s="17" t="s">
        <v>14</v>
      </c>
      <c r="M32" s="20" t="s">
        <v>374</v>
      </c>
      <c r="N32" s="17" t="s">
        <v>163</v>
      </c>
      <c r="O3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2026-10-20</v>
      </c>
      <c r="P32" s="17" t="str">
        <f>IF(_xlfn.SINGLE(Growing[Growing Jar])="", "", TEXT(COUNTIF(Harvest[Growing Jar], _xlfn.SINGLE(Growing[Growing Jar])), "General"))</f>
        <v>0</v>
      </c>
      <c r="T32" s="39"/>
      <c r="Y32" s="39" t="str" cm="1">
        <f t="array" ref="Y32">_xlfn.LET(_xlpm.root_mass, _xlfn.SINGLE(Growing[Root Dry Mass (g)]), IF(_xlpm.root_mass="", "", IF(_xlpm.root_mass="None", "None", IF(_xlpm.root_mass="Unknown", "Unknown", _xlpm.root_mass / _xlfn.SINGLE(Growing[Stem Dry Mass (g)])))))</f>
        <v/>
      </c>
      <c r="Z32" s="39"/>
    </row>
    <row r="33" spans="1:27">
      <c r="A33" s="19" t="s">
        <v>632</v>
      </c>
      <c r="B33" s="17" t="s">
        <v>472</v>
      </c>
      <c r="C33" s="19" t="s">
        <v>480</v>
      </c>
      <c r="D33" s="17" t="str" cm="1">
        <f t="array" ref="D33">_xlfn.LET(_xlpm.value, _xlfn.XLOOKUP(Growing[[#This Row],[Seed Cup]], Cups[Id], Cups[Seed]), IF(_xlpm.value="", "", _xlpm.value))</f>
        <v>2178GP.53</v>
      </c>
      <c r="E33" s="17" t="str" cm="1">
        <f t="array" ref="E33">_xlfn.LET(_xlpm.value, _xlfn.XLOOKUP(Growing[[#This Row],[Seed]], Seeds[Seed], Seeds[Common Name]), IFERROR(_xlpm.value, ""))</f>
        <v>Nufar Basil</v>
      </c>
      <c r="F33" s="18" t="str">
        <f>IF(Growing[[#This Row],[Growing Jar]]="None", "None", IF(Growing[[#This Row],[Growing Jar]]="", "", _xlfn.XLOOKUP(Growing[[#This Row],[Growing Jar]],Jars!A:A,Jars!C:C)))</f>
        <v>Duck</v>
      </c>
      <c r="G33" s="17" t="str" cm="1">
        <f t="array" aca="1" ref="G3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3" s="19" t="str" cm="1">
        <f t="array" ref="H33">_xlfn.LET(_xlpm.value, _xlfn.XLOOKUP(Growing[[#This Row],[Seed Cup]], Cups[Id], Cups[Date Seeded]), IF(_xlpm.value="", "", _xlpm.value))</f>
        <v>2026-09-08</v>
      </c>
      <c r="I3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2026-09-13</v>
      </c>
      <c r="J3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2026-09-18</v>
      </c>
      <c r="K33" s="19" t="s">
        <v>631</v>
      </c>
      <c r="L33" s="19" t="s">
        <v>633</v>
      </c>
      <c r="M33" s="19" t="s">
        <v>634</v>
      </c>
      <c r="N33" s="17" t="s">
        <v>163</v>
      </c>
      <c r="O3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2026-10-26</v>
      </c>
      <c r="P33" s="17" t="str">
        <f>IF(_xlfn.SINGLE(Growing[Growing Jar])="", "", TEXT(COUNTIF(Harvest[Growing Jar], _xlfn.SINGLE(Growing[Growing Jar])), "General"))</f>
        <v>0</v>
      </c>
      <c r="T33" s="40"/>
      <c r="Y33" s="40" t="str" cm="1">
        <f t="array" ref="Y33">_xlfn.LET(_xlpm.root_mass, _xlfn.SINGLE(Growing[Root Dry Mass (g)]), IF(_xlpm.root_mass="", "", IF(_xlpm.root_mass="None", "None", IF(_xlpm.root_mass="Unknown", "Unknown", _xlpm.root_mass / _xlfn.SINGLE(Growing[Stem Dry Mass (g)])))))</f>
        <v/>
      </c>
      <c r="Z33" s="40"/>
    </row>
    <row r="34" spans="1:27">
      <c r="A34" s="19" t="s">
        <v>514</v>
      </c>
      <c r="B34" s="17" t="s">
        <v>503</v>
      </c>
      <c r="C34" s="19" t="s">
        <v>484</v>
      </c>
      <c r="D34" s="17" t="str" cm="1">
        <f t="array" ref="D34">_xlfn.LET(_xlpm.value, _xlfn.XLOOKUP(Growing[[#This Row],[Seed Cup]], Cups[Id], Cups[Seed]), IF(_xlpm.value="", "", _xlpm.value))</f>
        <v>2178GP.53</v>
      </c>
      <c r="E34" s="17" t="str" cm="1">
        <f t="array" ref="E34">_xlfn.LET(_xlpm.value, _xlfn.XLOOKUP(Growing[[#This Row],[Seed]], Seeds[Seed], Seeds[Common Name]), IFERROR(_xlpm.value, ""))</f>
        <v>Nufar Basil</v>
      </c>
      <c r="F34" s="18" t="str">
        <f>IF(Growing[[#This Row],[Growing Jar]]="None", "None", IF(Growing[[#This Row],[Growing Jar]]="", "", _xlfn.XLOOKUP(Growing[[#This Row],[Growing Jar]],Jars!A:A,Jars!C:C)))</f>
        <v>Shining so Bright, We Grow Upright</v>
      </c>
      <c r="G34" s="17" t="str" cm="1">
        <f t="array" aca="1" ref="G3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4" s="19" t="str" cm="1">
        <f t="array" ref="H34">_xlfn.LET(_xlpm.value, _xlfn.XLOOKUP(Growing[[#This Row],[Seed Cup]], Cups[Id], Cups[Date Seeded]), IF(_xlpm.value="", "", _xlpm.value))</f>
        <v>2026-09-11</v>
      </c>
      <c r="I3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2026-09-21</v>
      </c>
      <c r="K34" s="19" t="s">
        <v>517</v>
      </c>
      <c r="L34" s="19" t="s">
        <v>193</v>
      </c>
      <c r="M34" s="19" t="s">
        <v>634</v>
      </c>
      <c r="N34" s="17" t="s">
        <v>163</v>
      </c>
      <c r="O3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2026-10-28</v>
      </c>
      <c r="P34" s="17" t="str">
        <f>IF(_xlfn.SINGLE(Growing[Growing Jar])="", "", TEXT(COUNTIF(Harvest[Growing Jar], _xlfn.SINGLE(Growing[Growing Jar])), "General"))</f>
        <v>0</v>
      </c>
      <c r="T34" s="39"/>
      <c r="Y34" s="39" t="str" cm="1">
        <f t="array" ref="Y34">_xlfn.LET(_xlpm.root_mass, _xlfn.SINGLE(Growing[Root Dry Mass (g)]), IF(_xlpm.root_mass="", "", IF(_xlpm.root_mass="None", "None", IF(_xlpm.root_mass="Unknown", "Unknown", _xlpm.root_mass / _xlfn.SINGLE(Growing[Stem Dry Mass (g)])))))</f>
        <v/>
      </c>
      <c r="Z34" s="39"/>
    </row>
    <row r="35" spans="1:27">
      <c r="A35" s="19" t="s">
        <v>635</v>
      </c>
      <c r="B35" s="17" t="s">
        <v>498</v>
      </c>
      <c r="C35" s="19" t="s">
        <v>487</v>
      </c>
      <c r="D35" s="17" t="str" cm="1">
        <f t="array" ref="D35">_xlfn.LET(_xlpm.value, _xlfn.XLOOKUP(Growing[[#This Row],[Seed Cup]], Cups[Id], Cups[Seed]), IF(_xlpm.value="", "", _xlpm.value))</f>
        <v>2178GP.53</v>
      </c>
      <c r="E35" s="17" t="str" cm="1">
        <f t="array" ref="E35">_xlfn.LET(_xlpm.value, _xlfn.XLOOKUP(Growing[[#This Row],[Seed]], Seeds[Seed], Seeds[Common Name]), IFERROR(_xlpm.value, ""))</f>
        <v>Nufar Basil</v>
      </c>
      <c r="F35" s="18" t="str">
        <f>IF(Growing[[#This Row],[Growing Jar]]="None", "None", IF(Growing[[#This Row],[Growing Jar]]="", "", _xlfn.XLOOKUP(Growing[[#This Row],[Growing Jar]],Jars!A:A,Jars!C:C)))</f>
        <v>You've Made it this Jar</v>
      </c>
      <c r="G35" s="17" t="str" cm="1">
        <f t="array" aca="1" ref="G3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5" s="19" t="str" cm="1">
        <f t="array" ref="H35">_xlfn.LET(_xlpm.value, _xlfn.XLOOKUP(Growing[[#This Row],[Seed Cup]], Cups[Id], Cups[Date Seeded]), IF(_xlpm.value="", "", _xlpm.value))</f>
        <v>2026-09-14</v>
      </c>
      <c r="I3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2026-09-19</v>
      </c>
      <c r="J3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2026-09-24</v>
      </c>
      <c r="K35" s="19" t="s">
        <v>634</v>
      </c>
      <c r="L35" s="19" t="s">
        <v>507</v>
      </c>
      <c r="M35" s="19" t="s">
        <v>636</v>
      </c>
      <c r="N35" s="17" t="s">
        <v>163</v>
      </c>
      <c r="O3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2026-11-02</v>
      </c>
      <c r="P35" s="17" t="str">
        <f>IF(_xlfn.SINGLE(Growing[Growing Jar])="", "", TEXT(COUNTIF(Harvest[Growing Jar], _xlfn.SINGLE(Growing[Growing Jar])), "General"))</f>
        <v>0</v>
      </c>
      <c r="T35" s="40"/>
      <c r="Y35" s="40" t="str" cm="1">
        <f t="array" ref="Y35">_xlfn.LET(_xlpm.root_mass, _xlfn.SINGLE(Growing[Root Dry Mass (g)]), IF(_xlpm.root_mass="", "", IF(_xlpm.root_mass="None", "None", IF(_xlpm.root_mass="Unknown", "Unknown", _xlpm.root_mass / _xlfn.SINGLE(Growing[Stem Dry Mass (g)])))))</f>
        <v/>
      </c>
      <c r="Z35" s="40"/>
    </row>
    <row r="36" spans="1:27">
      <c r="A36" s="19" t="s">
        <v>516</v>
      </c>
      <c r="B36" s="17" t="s">
        <v>374</v>
      </c>
      <c r="C36" s="19" t="s">
        <v>491</v>
      </c>
      <c r="D36" s="17" t="str" cm="1">
        <f t="array" ref="D36">_xlfn.LET(_xlpm.value, _xlfn.XLOOKUP(Growing[[#This Row],[Seed Cup]], Cups[Id], Cups[Seed]), IF(_xlpm.value="", "", _xlpm.value))</f>
        <v>3056JP.65</v>
      </c>
      <c r="E36" s="17" t="str" cm="1">
        <f t="array" ref="E36">_xlfn.LET(_xlpm.value, _xlfn.XLOOKUP(Growing[[#This Row],[Seed]], Seeds[Seed], Seeds[Common Name]), IFERROR(_xlpm.value, ""))</f>
        <v>Green Butter Lettuce</v>
      </c>
      <c r="F36" s="18" t="str">
        <f>IF(Growing[[#This Row],[Growing Jar]]="None", "None", IF(Growing[[#This Row],[Growing Jar]]="", "", _xlfn.XLOOKUP(Growing[[#This Row],[Growing Jar]],Jars!A:A,Jars!C:C)))</f>
        <v>None</v>
      </c>
      <c r="G36" s="17" t="str" cm="1">
        <f t="array" aca="1" ref="G3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6" s="19" t="str" cm="1">
        <f t="array" ref="H36">_xlfn.LET(_xlpm.value, _xlfn.XLOOKUP(Growing[[#This Row],[Seed Cup]], Cups[Id], Cups[Date Seeded]), IF(_xlpm.value="", "", _xlpm.value))</f>
        <v>2026-09-16</v>
      </c>
      <c r="I3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6" s="17" t="s">
        <v>374</v>
      </c>
      <c r="L36" s="17" t="s">
        <v>374</v>
      </c>
      <c r="M36" s="17" t="s">
        <v>374</v>
      </c>
      <c r="N36" s="17" t="s">
        <v>163</v>
      </c>
      <c r="O3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6" s="17" t="str">
        <f>IF(_xlfn.SINGLE(Growing[Growing Jar])="", "", TEXT(COUNTIF(Harvest[Growing Jar], _xlfn.SINGLE(Growing[Growing Jar])), "General"))</f>
        <v>0</v>
      </c>
      <c r="Q36" s="19" t="s">
        <v>524</v>
      </c>
      <c r="R36" s="17" t="s">
        <v>622</v>
      </c>
      <c r="S36" s="17" t="s">
        <v>374</v>
      </c>
      <c r="T36" s="41" t="s">
        <v>374</v>
      </c>
      <c r="U36" s="17" t="s">
        <v>374</v>
      </c>
      <c r="V36" s="17" t="s">
        <v>374</v>
      </c>
      <c r="W36" s="17" t="s">
        <v>374</v>
      </c>
      <c r="X36" s="17" t="s">
        <v>374</v>
      </c>
      <c r="Y36" s="41" t="str" cm="1">
        <f t="array" ref="Y36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36" s="41" t="s">
        <v>374</v>
      </c>
      <c r="AA36" s="17" t="s">
        <v>374</v>
      </c>
    </row>
    <row r="37" spans="1:27">
      <c r="A37" s="19" t="s">
        <v>521</v>
      </c>
      <c r="B37" s="20" t="s">
        <v>374</v>
      </c>
      <c r="C37" s="19" t="s">
        <v>495</v>
      </c>
      <c r="D37" s="17" t="str" cm="1">
        <f t="array" ref="D37">_xlfn.LET(_xlpm.value, _xlfn.XLOOKUP(Growing[[#This Row],[Seed Cup]], Cups[Id], Cups[Seed]), IF(_xlpm.value="", "", _xlpm.value))</f>
        <v>3056JP.65</v>
      </c>
      <c r="E37" s="17" t="str" cm="1">
        <f t="array" ref="E37">_xlfn.LET(_xlpm.value, _xlfn.XLOOKUP(Growing[[#This Row],[Seed]], Seeds[Seed], Seeds[Common Name]), IFERROR(_xlpm.value, ""))</f>
        <v>Green Butter Lettuce</v>
      </c>
      <c r="F37" s="18" t="str">
        <f>IF(Growing[[#This Row],[Growing Jar]]="None", "None", IF(Growing[[#This Row],[Growing Jar]]="", "", _xlfn.XLOOKUP(Growing[[#This Row],[Growing Jar]],Jars!A:A,Jars!C:C)))</f>
        <v>None</v>
      </c>
      <c r="G37" s="20" t="str" cm="1">
        <f t="array" aca="1" ref="G3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7" s="21" t="str" cm="1">
        <f t="array" ref="H37">_xlfn.LET(_xlpm.value, _xlfn.XLOOKUP(Growing[[#This Row],[Seed Cup]], Cups[Id], Cups[Date Seeded]), IF(_xlpm.value="", "", _xlpm.value))</f>
        <v>2026-09-16</v>
      </c>
      <c r="I3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7" s="17" t="s">
        <v>374</v>
      </c>
      <c r="L37" s="17" t="s">
        <v>374</v>
      </c>
      <c r="M37" s="17" t="s">
        <v>374</v>
      </c>
      <c r="N37" s="17" t="s">
        <v>163</v>
      </c>
      <c r="O3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7" s="17" t="str">
        <f>IF(_xlfn.SINGLE(Growing[Growing Jar])="", "", TEXT(COUNTIF(Harvest[Growing Jar], _xlfn.SINGLE(Growing[Growing Jar])), "General"))</f>
        <v>0</v>
      </c>
      <c r="Q37" s="19" t="s">
        <v>524</v>
      </c>
      <c r="R37" s="17" t="s">
        <v>622</v>
      </c>
      <c r="S37" s="17" t="s">
        <v>374</v>
      </c>
      <c r="T37" s="42" t="s">
        <v>374</v>
      </c>
      <c r="U37" s="17" t="s">
        <v>374</v>
      </c>
      <c r="V37" s="17" t="s">
        <v>374</v>
      </c>
      <c r="W37" s="17" t="s">
        <v>374</v>
      </c>
      <c r="X37" s="17" t="s">
        <v>374</v>
      </c>
      <c r="Y37" s="42" t="str" cm="1">
        <f t="array" ref="Y37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37" s="42" t="s">
        <v>374</v>
      </c>
      <c r="AA37" s="17" t="s">
        <v>374</v>
      </c>
    </row>
    <row r="38" spans="1:27">
      <c r="A38" s="19" t="s">
        <v>522</v>
      </c>
      <c r="B38" s="20" t="s">
        <v>374</v>
      </c>
      <c r="C38" s="19" t="s">
        <v>498</v>
      </c>
      <c r="D38" s="17" t="str" cm="1">
        <f t="array" ref="D38">_xlfn.LET(_xlpm.value, _xlfn.XLOOKUP(Growing[[#This Row],[Seed Cup]], Cups[Id], Cups[Seed]), IF(_xlpm.value="", "", _xlpm.value))</f>
        <v>3056JP.65</v>
      </c>
      <c r="E38" s="17" t="str" cm="1">
        <f t="array" ref="E38">_xlfn.LET(_xlpm.value, _xlfn.XLOOKUP(Growing[[#This Row],[Seed]], Seeds[Seed], Seeds[Common Name]), IFERROR(_xlpm.value, ""))</f>
        <v>Green Butter Lettuce</v>
      </c>
      <c r="F38" s="18" t="str">
        <f>IF(Growing[[#This Row],[Growing Jar]]="None", "None", IF(Growing[[#This Row],[Growing Jar]]="", "", _xlfn.XLOOKUP(Growing[[#This Row],[Growing Jar]],Jars!A:A,Jars!C:C)))</f>
        <v>None</v>
      </c>
      <c r="G38" s="20" t="str" cm="1">
        <f t="array" aca="1" ref="G3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38" s="21" t="str" cm="1">
        <f t="array" ref="H38">_xlfn.LET(_xlpm.value, _xlfn.XLOOKUP(Growing[[#This Row],[Seed Cup]], Cups[Id], Cups[Date Seeded]), IF(_xlpm.value="", "", _xlpm.value))</f>
        <v>2026-09-16</v>
      </c>
      <c r="I3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2026-09-16</v>
      </c>
      <c r="J3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2026-09-16</v>
      </c>
      <c r="K38" s="17" t="s">
        <v>374</v>
      </c>
      <c r="L38" s="17" t="s">
        <v>374</v>
      </c>
      <c r="M38" s="17" t="s">
        <v>374</v>
      </c>
      <c r="N38" s="17" t="s">
        <v>163</v>
      </c>
      <c r="O3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38" s="17" t="str">
        <f>IF(_xlfn.SINGLE(Growing[Growing Jar])="", "", TEXT(COUNTIF(Harvest[Growing Jar], _xlfn.SINGLE(Growing[Growing Jar])), "General"))</f>
        <v>0</v>
      </c>
      <c r="Q38" s="19" t="s">
        <v>524</v>
      </c>
      <c r="R38" s="17" t="s">
        <v>622</v>
      </c>
      <c r="S38" s="17" t="s">
        <v>374</v>
      </c>
      <c r="T38" s="41" t="s">
        <v>374</v>
      </c>
      <c r="U38" s="17" t="s">
        <v>374</v>
      </c>
      <c r="V38" s="17" t="s">
        <v>374</v>
      </c>
      <c r="W38" s="17" t="s">
        <v>374</v>
      </c>
      <c r="X38" s="17" t="s">
        <v>374</v>
      </c>
      <c r="Y38" s="41" t="str" cm="1">
        <f t="array" ref="Y38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38" s="41" t="s">
        <v>374</v>
      </c>
      <c r="AA38" s="17" t="s">
        <v>374</v>
      </c>
    </row>
    <row r="39" spans="1:27">
      <c r="A39" s="19" t="s">
        <v>523</v>
      </c>
      <c r="B39" s="19" t="s">
        <v>468</v>
      </c>
      <c r="C39" s="19" t="s">
        <v>503</v>
      </c>
      <c r="D39" s="17" t="str" cm="1">
        <f t="array" ref="D39">_xlfn.LET(_xlpm.value, _xlfn.XLOOKUP(Growing[[#This Row],[Seed Cup]], Cups[Id], Cups[Seed]), IF(_xlpm.value="", "", _xlpm.value))</f>
        <v>2178GP.53</v>
      </c>
      <c r="E39" s="17" t="str" cm="1">
        <f t="array" ref="E39">_xlfn.LET(_xlpm.value, _xlfn.XLOOKUP(Growing[[#This Row],[Seed]], Seeds[Seed], Seeds[Common Name]), IFERROR(_xlpm.value, ""))</f>
        <v>Nufar Basil</v>
      </c>
      <c r="F39" s="18" t="str">
        <f>IF(Growing[[#This Row],[Growing Jar]]="None", "None", IF(Growing[[#This Row],[Growing Jar]]="", "", _xlfn.XLOOKUP(Growing[[#This Row],[Growing Jar]],Jars!A:A,Jars!C:C)))</f>
        <v>Superb Herb</v>
      </c>
      <c r="G39" s="17" t="str" cm="1">
        <f t="array" aca="1" ref="G3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39" s="19" t="str" cm="1">
        <f t="array" ref="H39">_xlfn.LET(_xlpm.value, _xlfn.XLOOKUP(Growing[[#This Row],[Seed Cup]], Cups[Id], Cups[Date Seeded]), IF(_xlpm.value="", "", _xlpm.value))</f>
        <v>2026-09-24</v>
      </c>
      <c r="I3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3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39" s="19" t="s">
        <v>678</v>
      </c>
      <c r="L39" s="19" t="s">
        <v>729</v>
      </c>
      <c r="M39" s="19" t="s">
        <v>697</v>
      </c>
      <c r="N39" s="17" t="s">
        <v>163</v>
      </c>
      <c r="O3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2026-11-16</v>
      </c>
      <c r="P39" s="17" t="str">
        <f>IF(_xlfn.SINGLE(Growing[Growing Jar])="", "", TEXT(COUNTIF(Harvest[Growing Jar], _xlfn.SINGLE(Growing[Growing Jar])), "General"))</f>
        <v>0</v>
      </c>
      <c r="T39" s="43"/>
      <c r="Y39" s="43" t="str" cm="1">
        <f t="array" ref="Y39">_xlfn.LET(_xlpm.root_mass, _xlfn.SINGLE(Growing[Root Dry Mass (g)]), IF(_xlpm.root_mass="", "", IF(_xlpm.root_mass="None", "None", IF(_xlpm.root_mass="Unknown", "Unknown", _xlpm.root_mass / _xlfn.SINGLE(Growing[Stem Dry Mass (g)])))))</f>
        <v/>
      </c>
      <c r="Z39" s="43"/>
    </row>
    <row r="40" spans="1:27">
      <c r="A40" s="19" t="s">
        <v>526</v>
      </c>
      <c r="B40" s="17" t="s">
        <v>374</v>
      </c>
      <c r="C40" s="19" t="s">
        <v>507</v>
      </c>
      <c r="D40" s="17" t="str" cm="1">
        <f t="array" ref="D40">_xlfn.LET(_xlpm.value, _xlfn.XLOOKUP(Growing[[#This Row],[Seed Cup]], Cups[Id], Cups[Seed]), IF(_xlpm.value="", "", _xlpm.value))</f>
        <v>2178GP.53</v>
      </c>
      <c r="E40" s="17" t="str" cm="1">
        <f t="array" ref="E40">_xlfn.LET(_xlpm.value, _xlfn.XLOOKUP(Growing[[#This Row],[Seed]], Seeds[Seed], Seeds[Common Name]), IFERROR(_xlpm.value, ""))</f>
        <v>Nufar Basil</v>
      </c>
      <c r="F40" s="18" t="str">
        <f>IF(Growing[[#This Row],[Growing Jar]]="None", "None", IF(Growing[[#This Row],[Growing Jar]]="", "", _xlfn.XLOOKUP(Growing[[#This Row],[Growing Jar]],Jars!A:A,Jars!C:C)))</f>
        <v>None</v>
      </c>
      <c r="G40" s="17" t="str" cm="1">
        <f t="array" aca="1" ref="G4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Finished</v>
      </c>
      <c r="H40" s="21" t="str" cm="1">
        <f t="array" ref="H40">_xlfn.LET(_xlpm.value, _xlfn.XLOOKUP(Growing[[#This Row],[Seed Cup]], Cups[Id], Cups[Date Seeded]), IF(_xlpm.value="", "", _xlpm.value))</f>
        <v>2026-09-24</v>
      </c>
      <c r="I4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4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40" s="19" t="s">
        <v>374</v>
      </c>
      <c r="L40" s="17" t="s">
        <v>374</v>
      </c>
      <c r="M40" s="17" t="s">
        <v>374</v>
      </c>
      <c r="N40" s="17" t="s">
        <v>163</v>
      </c>
      <c r="O4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None</v>
      </c>
      <c r="P40" s="17" t="str">
        <f>IF(_xlfn.SINGLE(Growing[Growing Jar])="", "", TEXT(COUNTIF(Harvest[Growing Jar], _xlfn.SINGLE(Growing[Growing Jar])), "General"))</f>
        <v>0</v>
      </c>
      <c r="Q40" s="19" t="s">
        <v>697</v>
      </c>
      <c r="R40" s="17" t="s">
        <v>622</v>
      </c>
      <c r="S40" s="17" t="s">
        <v>374</v>
      </c>
      <c r="T40" s="46" t="s">
        <v>374</v>
      </c>
      <c r="U40" s="17" t="s">
        <v>374</v>
      </c>
      <c r="V40" s="17" t="s">
        <v>374</v>
      </c>
      <c r="W40" s="17" t="s">
        <v>374</v>
      </c>
      <c r="X40" s="17" t="s">
        <v>374</v>
      </c>
      <c r="Y40" s="46" t="str" cm="1">
        <f t="array" ref="Y40">_xlfn.LET(_xlpm.root_mass, _xlfn.SINGLE(Growing[Root Dry Mass (g)]), IF(_xlpm.root_mass="", "", IF(_xlpm.root_mass="None", "None", IF(_xlpm.root_mass="Unknown", "Unknown", _xlpm.root_mass / _xlfn.SINGLE(Growing[Stem Dry Mass (g)])))))</f>
        <v>None</v>
      </c>
      <c r="Z40" s="46" t="s">
        <v>374</v>
      </c>
      <c r="AA40" s="17" t="s">
        <v>374</v>
      </c>
    </row>
    <row r="41" spans="1:27">
      <c r="A41" s="19" t="s">
        <v>528</v>
      </c>
      <c r="B41" s="19" t="s">
        <v>507</v>
      </c>
      <c r="C41" s="19" t="s">
        <v>510</v>
      </c>
      <c r="D41" s="17" t="str" cm="1">
        <f t="array" ref="D41">_xlfn.LET(_xlpm.value, _xlfn.XLOOKUP(Growing[[#This Row],[Seed Cup]], Cups[Id], Cups[Seed]), IF(_xlpm.value="", "", _xlpm.value))</f>
        <v>2178GP.53</v>
      </c>
      <c r="E41" s="17" t="str" cm="1">
        <f t="array" ref="E41">_xlfn.LET(_xlpm.value, _xlfn.XLOOKUP(Growing[[#This Row],[Seed]], Seeds[Seed], Seeds[Common Name]), IFERROR(_xlpm.value, ""))</f>
        <v>Nufar Basil</v>
      </c>
      <c r="F41" s="18" t="str">
        <f>IF(Growing[[#This Row],[Growing Jar]]="None", "None", IF(Growing[[#This Row],[Growing Jar]]="", "", _xlfn.XLOOKUP(Growing[[#This Row],[Growing Jar]],Jars!A:A,Jars!C:C)))</f>
        <v>Best o' Pesto</v>
      </c>
      <c r="G41" s="17" t="str" cm="1">
        <f t="array" aca="1" ref="G4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Growing</v>
      </c>
      <c r="H41" s="21" t="str" cm="1">
        <f t="array" ref="H41">_xlfn.LET(_xlpm.value, _xlfn.XLOOKUP(Growing[[#This Row],[Seed Cup]], Cups[Id], Cups[Date Seeded]), IF(_xlpm.value="", "", _xlpm.value))</f>
        <v>2026-09-24</v>
      </c>
      <c r="I4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2026-09-29</v>
      </c>
      <c r="J4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2026-10-04</v>
      </c>
      <c r="K41" s="19" t="s">
        <v>678</v>
      </c>
      <c r="L41" s="19" t="s">
        <v>328</v>
      </c>
      <c r="M41" s="17" t="s">
        <v>697</v>
      </c>
      <c r="N41" s="17" t="s">
        <v>163</v>
      </c>
      <c r="O4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2026-11-16</v>
      </c>
      <c r="P41" s="17" t="str">
        <f>IF(_xlfn.SINGLE(Growing[Growing Jar])="", "", TEXT(COUNTIF(Harvest[Growing Jar], _xlfn.SINGLE(Growing[Growing Jar])), "General"))</f>
        <v>0</v>
      </c>
      <c r="T41" s="43"/>
      <c r="Y41" s="43" t="str" cm="1">
        <f t="array" ref="Y41">_xlfn.LET(_xlpm.root_mass, _xlfn.SINGLE(Growing[Root Dry Mass (g)]), IF(_xlpm.root_mass="", "", IF(_xlpm.root_mass="None", "None", IF(_xlpm.root_mass="Unknown", "Unknown", _xlpm.root_mass / _xlfn.SINGLE(Growing[Stem Dry Mass (g)])))))</f>
        <v/>
      </c>
      <c r="Z41" s="43"/>
    </row>
    <row r="42" spans="1:27">
      <c r="A42" s="19" t="s">
        <v>542</v>
      </c>
      <c r="C42" s="19" t="s">
        <v>514</v>
      </c>
      <c r="D42" s="17" t="str" cm="1">
        <f t="array" ref="D42">_xlfn.LET(_xlpm.value, _xlfn.XLOOKUP(Growing[[#This Row],[Seed Cup]], Cups[Id], Cups[Seed]), IF(_xlpm.value="", "", _xlpm.value))</f>
        <v>2178GP.53</v>
      </c>
      <c r="E42" s="17" t="str" cm="1">
        <f t="array" ref="E42">_xlfn.LET(_xlpm.value, _xlfn.XLOOKUP(Growing[[#This Row],[Seed]], Seeds[Seed], Seeds[Common Name]), IFERROR(_xlpm.value, ""))</f>
        <v>Nufar Basil</v>
      </c>
      <c r="F42" s="18" t="str">
        <f>IF(Growing[[#This Row],[Growing Jar]]="None", "None", IF(Growing[[#This Row],[Growing Jar]]="", "", _xlfn.XLOOKUP(Growing[[#This Row],[Growing Jar]],Jars!A:A,Jars!C:C)))</f>
        <v/>
      </c>
      <c r="G42" s="17" t="str" cm="1">
        <f t="array" aca="1" ref="G4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Seeding</v>
      </c>
      <c r="H42" s="17" t="str" cm="1">
        <f t="array" ref="H42">_xlfn.LET(_xlpm.value, _xlfn.XLOOKUP(Growing[[#This Row],[Seed Cup]], Cups[Id], Cups[Date Seeded]), IF(_xlpm.value="", "", _xlpm.value))</f>
        <v>2026-09-30</v>
      </c>
      <c r="I4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2026-10-05</v>
      </c>
      <c r="J4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2026-10-10</v>
      </c>
      <c r="K42" s="19" t="s">
        <v>697</v>
      </c>
      <c r="O4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2026-11-18</v>
      </c>
      <c r="P42" s="17" t="str">
        <f>IF(_xlfn.SINGLE(Growing[Growing Jar])="", "", TEXT(COUNTIF(Harvest[Growing Jar], _xlfn.SINGLE(Growing[Growing Jar])), "General"))</f>
        <v/>
      </c>
      <c r="Y42" s="17" t="str" cm="1">
        <f t="array" ref="Y4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3" spans="1:27">
      <c r="A43" s="19" t="s">
        <v>533</v>
      </c>
      <c r="C43" s="19" t="s">
        <v>705</v>
      </c>
      <c r="D43" s="17" t="str" cm="1">
        <f t="array" ref="D43">_xlfn.LET(_xlpm.value, _xlfn.XLOOKUP(Growing[[#This Row],[Seed Cup]], Cups[Id], Cups[Seed]), IF(_xlpm.value="", "", _xlpm.value))</f>
        <v>2178GP.53</v>
      </c>
      <c r="E43" s="17" t="str" cm="1">
        <f t="array" ref="E43">_xlfn.LET(_xlpm.value, _xlfn.XLOOKUP(Growing[[#This Row],[Seed]], Seeds[Seed], Seeds[Common Name]), IFERROR(_xlpm.value, ""))</f>
        <v>Nufar Basil</v>
      </c>
      <c r="F43" s="18" t="str">
        <f>IF(Growing[[#This Row],[Growing Jar]]="None", "None", IF(Growing[[#This Row],[Growing Jar]]="", "", _xlfn.XLOOKUP(Growing[[#This Row],[Growing Jar]],Jars!A:A,Jars!C:C)))</f>
        <v/>
      </c>
      <c r="G43" s="17" t="str" cm="1">
        <f t="array" aca="1" ref="G4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Seeding</v>
      </c>
      <c r="H43" s="17" t="str" cm="1">
        <f t="array" ref="H43">_xlfn.LET(_xlpm.value, _xlfn.XLOOKUP(Growing[[#This Row],[Seed Cup]], Cups[Id], Cups[Date Seeded]), IF(_xlpm.value="", "", _xlpm.value))</f>
        <v>2026-10-01</v>
      </c>
      <c r="I4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2026-10-06</v>
      </c>
      <c r="J4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2026-10-11</v>
      </c>
      <c r="K43" s="17" t="s">
        <v>697</v>
      </c>
      <c r="O4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2026-11-18</v>
      </c>
      <c r="P43" s="17" t="str">
        <f>IF(_xlfn.SINGLE(Growing[Growing Jar])="", "", TEXT(COUNTIF(Harvest[Growing Jar], _xlfn.SINGLE(Growing[Growing Jar])), "General"))</f>
        <v/>
      </c>
      <c r="Y43" s="17" t="str" cm="1">
        <f t="array" ref="Y4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4" spans="1:27">
      <c r="A44" s="19" t="s">
        <v>537</v>
      </c>
      <c r="C44" s="19" t="s">
        <v>707</v>
      </c>
      <c r="D44" s="17" t="str" cm="1">
        <f t="array" ref="D44">_xlfn.LET(_xlpm.value, _xlfn.XLOOKUP(Growing[[#This Row],[Seed Cup]], Cups[Id], Cups[Seed]), IF(_xlpm.value="", "", _xlpm.value))</f>
        <v>2178GP.53</v>
      </c>
      <c r="E44" s="17" t="str" cm="1">
        <f t="array" ref="E44">_xlfn.LET(_xlpm.value, _xlfn.XLOOKUP(Growing[[#This Row],[Seed]], Seeds[Seed], Seeds[Common Name]), IFERROR(_xlpm.value, ""))</f>
        <v>Nufar Basil</v>
      </c>
      <c r="F44" s="18" t="str">
        <f>IF(Growing[[#This Row],[Growing Jar]]="None", "None", IF(Growing[[#This Row],[Growing Jar]]="", "", _xlfn.XLOOKUP(Growing[[#This Row],[Growing Jar]],Jars!A:A,Jars!C:C)))</f>
        <v/>
      </c>
      <c r="G44" s="17" t="str" cm="1">
        <f t="array" aca="1" ref="G4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>Seeding</v>
      </c>
      <c r="H44" s="17" t="str" cm="1">
        <f t="array" ref="H44">_xlfn.LET(_xlpm.value, _xlfn.XLOOKUP(Growing[[#This Row],[Seed Cup]], Cups[Id], Cups[Date Seeded]), IF(_xlpm.value="", "", _xlpm.value))</f>
        <v>2026-10-01</v>
      </c>
      <c r="I4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>2026-10-06</v>
      </c>
      <c r="J4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>2026-10-11</v>
      </c>
      <c r="K44" s="17" t="s">
        <v>697</v>
      </c>
      <c r="O4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>2026-11-18</v>
      </c>
      <c r="P44" s="17" t="str">
        <f>IF(_xlfn.SINGLE(Growing[Growing Jar])="", "", TEXT(COUNTIF(Harvest[Growing Jar], _xlfn.SINGLE(Growing[Growing Jar])), "General"))</f>
        <v/>
      </c>
      <c r="Y44" s="17" t="str" cm="1">
        <f t="array" ref="Y4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5" spans="1:27">
      <c r="D45" s="17" t="str" cm="1">
        <f t="array" ref="D45">_xlfn.LET(_xlpm.value, _xlfn.XLOOKUP(Growing[[#This Row],[Seed Cup]], Cups[Id], Cups[Seed]), IF(_xlpm.value="", "", _xlpm.value))</f>
        <v/>
      </c>
      <c r="E45" s="17" t="str" cm="1">
        <f t="array" ref="E45">_xlfn.LET(_xlpm.value, _xlfn.XLOOKUP(Growing[[#This Row],[Seed]], Seeds[Seed], Seeds[Common Name]), IFERROR(_xlpm.value, ""))</f>
        <v/>
      </c>
      <c r="F45" s="18" t="str">
        <f>IF(Growing[[#This Row],[Growing Jar]]="None", "None", IF(Growing[[#This Row],[Growing Jar]]="", "", _xlfn.XLOOKUP(Growing[[#This Row],[Growing Jar]],Jars!A:A,Jars!C:C)))</f>
        <v/>
      </c>
      <c r="G45" s="17" t="str" cm="1">
        <f t="array" aca="1" ref="G4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5" s="17" t="str" cm="1">
        <f t="array" ref="H45">_xlfn.LET(_xlpm.value, _xlfn.XLOOKUP(Growing[[#This Row],[Seed Cup]], Cups[Id], Cups[Date Seeded]), IF(_xlpm.value="", "", _xlpm.value))</f>
        <v/>
      </c>
      <c r="I4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5" s="17" t="str">
        <f>IF(_xlfn.SINGLE(Growing[Growing Jar])="", "", TEXT(COUNTIF(Harvest[Growing Jar], _xlfn.SINGLE(Growing[Growing Jar])), "General"))</f>
        <v/>
      </c>
      <c r="Y45" s="17" t="str" cm="1">
        <f t="array" ref="Y4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6" spans="1:27">
      <c r="D46" s="17" t="str" cm="1">
        <f t="array" ref="D46">_xlfn.LET(_xlpm.value, _xlfn.XLOOKUP(Growing[[#This Row],[Seed Cup]], Cups[Id], Cups[Seed]), IF(_xlpm.value="", "", _xlpm.value))</f>
        <v/>
      </c>
      <c r="E46" s="17" t="str" cm="1">
        <f t="array" ref="E46">_xlfn.LET(_xlpm.value, _xlfn.XLOOKUP(Growing[[#This Row],[Seed]], Seeds[Seed], Seeds[Common Name]), IFERROR(_xlpm.value, ""))</f>
        <v/>
      </c>
      <c r="F46" s="18" t="str">
        <f>IF(Growing[[#This Row],[Growing Jar]]="None", "None", IF(Growing[[#This Row],[Growing Jar]]="", "", _xlfn.XLOOKUP(Growing[[#This Row],[Growing Jar]],Jars!A:A,Jars!C:C)))</f>
        <v/>
      </c>
      <c r="G46" s="17" t="str" cm="1">
        <f t="array" aca="1" ref="G4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6" s="17" t="str" cm="1">
        <f t="array" ref="H46">_xlfn.LET(_xlpm.value, _xlfn.XLOOKUP(Growing[[#This Row],[Seed Cup]], Cups[Id], Cups[Date Seeded]), IF(_xlpm.value="", "", _xlpm.value))</f>
        <v/>
      </c>
      <c r="I4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6" s="17" t="str">
        <f>IF(_xlfn.SINGLE(Growing[Growing Jar])="", "", TEXT(COUNTIF(Harvest[Growing Jar], _xlfn.SINGLE(Growing[Growing Jar])), "General"))</f>
        <v/>
      </c>
      <c r="Y46" s="17" t="str" cm="1">
        <f t="array" ref="Y46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7" spans="1:27">
      <c r="D47" s="17" t="str" cm="1">
        <f t="array" ref="D47">_xlfn.LET(_xlpm.value, _xlfn.XLOOKUP(Growing[[#This Row],[Seed Cup]], Cups[Id], Cups[Seed]), IF(_xlpm.value="", "", _xlpm.value))</f>
        <v/>
      </c>
      <c r="E47" s="17" t="str" cm="1">
        <f t="array" ref="E47">_xlfn.LET(_xlpm.value, _xlfn.XLOOKUP(Growing[[#This Row],[Seed]], Seeds[Seed], Seeds[Common Name]), IFERROR(_xlpm.value, ""))</f>
        <v/>
      </c>
      <c r="F47" s="18" t="str">
        <f>IF(Growing[[#This Row],[Growing Jar]]="None", "None", IF(Growing[[#This Row],[Growing Jar]]="", "", _xlfn.XLOOKUP(Growing[[#This Row],[Growing Jar]],Jars!A:A,Jars!C:C)))</f>
        <v/>
      </c>
      <c r="G47" s="17" t="str" cm="1">
        <f t="array" aca="1" ref="G4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7" s="17" t="str" cm="1">
        <f t="array" ref="H47">_xlfn.LET(_xlpm.value, _xlfn.XLOOKUP(Growing[[#This Row],[Seed Cup]], Cups[Id], Cups[Date Seeded]), IF(_xlpm.value="", "", _xlpm.value))</f>
        <v/>
      </c>
      <c r="I4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7" s="17" t="str">
        <f>IF(_xlfn.SINGLE(Growing[Growing Jar])="", "", TEXT(COUNTIF(Harvest[Growing Jar], _xlfn.SINGLE(Growing[Growing Jar])), "General"))</f>
        <v/>
      </c>
      <c r="Y47" s="17" t="str" cm="1">
        <f t="array" ref="Y47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8" spans="1:27">
      <c r="D48" s="17" t="str" cm="1">
        <f t="array" ref="D48">_xlfn.LET(_xlpm.value, _xlfn.XLOOKUP(Growing[[#This Row],[Seed Cup]], Cups[Id], Cups[Seed]), IF(_xlpm.value="", "", _xlpm.value))</f>
        <v/>
      </c>
      <c r="E48" s="17" t="str" cm="1">
        <f t="array" ref="E48">_xlfn.LET(_xlpm.value, _xlfn.XLOOKUP(Growing[[#This Row],[Seed]], Seeds[Seed], Seeds[Common Name]), IFERROR(_xlpm.value, ""))</f>
        <v/>
      </c>
      <c r="F48" s="18" t="str">
        <f>IF(Growing[[#This Row],[Growing Jar]]="None", "None", IF(Growing[[#This Row],[Growing Jar]]="", "", _xlfn.XLOOKUP(Growing[[#This Row],[Growing Jar]],Jars!A:A,Jars!C:C)))</f>
        <v/>
      </c>
      <c r="G48" s="17" t="str" cm="1">
        <f t="array" aca="1" ref="G4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8" s="17" t="str" cm="1">
        <f t="array" ref="H48">_xlfn.LET(_xlpm.value, _xlfn.XLOOKUP(Growing[[#This Row],[Seed Cup]], Cups[Id], Cups[Date Seeded]), IF(_xlpm.value="", "", _xlpm.value))</f>
        <v/>
      </c>
      <c r="I4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8" s="17" t="str">
        <f>IF(_xlfn.SINGLE(Growing[Growing Jar])="", "", TEXT(COUNTIF(Harvest[Growing Jar], _xlfn.SINGLE(Growing[Growing Jar])), "General"))</f>
        <v/>
      </c>
      <c r="Y48" s="17" t="str" cm="1">
        <f t="array" ref="Y48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49" spans="4:25">
      <c r="D49" s="17" t="str" cm="1">
        <f t="array" ref="D49">_xlfn.LET(_xlpm.value, _xlfn.XLOOKUP(Growing[[#This Row],[Seed Cup]], Cups[Id], Cups[Seed]), IF(_xlpm.value="", "", _xlpm.value))</f>
        <v/>
      </c>
      <c r="E49" s="17" t="str" cm="1">
        <f t="array" ref="E49">_xlfn.LET(_xlpm.value, _xlfn.XLOOKUP(Growing[[#This Row],[Seed]], Seeds[Seed], Seeds[Common Name]), IFERROR(_xlpm.value, ""))</f>
        <v/>
      </c>
      <c r="F49" s="18" t="str">
        <f>IF(Growing[[#This Row],[Growing Jar]]="None", "None", IF(Growing[[#This Row],[Growing Jar]]="", "", _xlfn.XLOOKUP(Growing[[#This Row],[Growing Jar]],Jars!A:A,Jars!C:C)))</f>
        <v/>
      </c>
      <c r="G49" s="17" t="str" cm="1">
        <f t="array" aca="1" ref="G4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49" s="17" t="str" cm="1">
        <f t="array" ref="H49">_xlfn.LET(_xlpm.value, _xlfn.XLOOKUP(Growing[[#This Row],[Seed Cup]], Cups[Id], Cups[Date Seeded]), IF(_xlpm.value="", "", _xlpm.value))</f>
        <v/>
      </c>
      <c r="I4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4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4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49" s="17" t="str">
        <f>IF(_xlfn.SINGLE(Growing[Growing Jar])="", "", TEXT(COUNTIF(Harvest[Growing Jar], _xlfn.SINGLE(Growing[Growing Jar])), "General"))</f>
        <v/>
      </c>
      <c r="Y49" s="17" t="str" cm="1">
        <f t="array" ref="Y49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0" spans="4:25">
      <c r="D50" s="17" t="str" cm="1">
        <f t="array" ref="D50">_xlfn.LET(_xlpm.value, _xlfn.XLOOKUP(Growing[[#This Row],[Seed Cup]], Cups[Id], Cups[Seed]), IF(_xlpm.value="", "", _xlpm.value))</f>
        <v/>
      </c>
      <c r="E50" s="17" t="str" cm="1">
        <f t="array" ref="E50">_xlfn.LET(_xlpm.value, _xlfn.XLOOKUP(Growing[[#This Row],[Seed]], Seeds[Seed], Seeds[Common Name]), IFERROR(_xlpm.value, ""))</f>
        <v/>
      </c>
      <c r="F50" s="18" t="str">
        <f>IF(Growing[[#This Row],[Growing Jar]]="None", "None", IF(Growing[[#This Row],[Growing Jar]]="", "", _xlfn.XLOOKUP(Growing[[#This Row],[Growing Jar]],Jars!A:A,Jars!C:C)))</f>
        <v/>
      </c>
      <c r="G50" s="17" t="str" cm="1">
        <f t="array" aca="1" ref="G5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0" s="17" t="str" cm="1">
        <f t="array" ref="H50">_xlfn.LET(_xlpm.value, _xlfn.XLOOKUP(Growing[[#This Row],[Seed Cup]], Cups[Id], Cups[Date Seeded]), IF(_xlpm.value="", "", _xlpm.value))</f>
        <v/>
      </c>
      <c r="I5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0" s="17" t="str">
        <f>IF(_xlfn.SINGLE(Growing[Growing Jar])="", "", TEXT(COUNTIF(Harvest[Growing Jar], _xlfn.SINGLE(Growing[Growing Jar])), "General"))</f>
        <v/>
      </c>
      <c r="Y50" s="17" t="str" cm="1">
        <f t="array" ref="Y50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1" spans="4:25">
      <c r="D51" s="17" t="str" cm="1">
        <f t="array" ref="D51">_xlfn.LET(_xlpm.value, _xlfn.XLOOKUP(Growing[[#This Row],[Seed Cup]], Cups[Id], Cups[Seed]), IF(_xlpm.value="", "", _xlpm.value))</f>
        <v/>
      </c>
      <c r="E51" s="17" t="str" cm="1">
        <f t="array" ref="E51">_xlfn.LET(_xlpm.value, _xlfn.XLOOKUP(Growing[[#This Row],[Seed]], Seeds[Seed], Seeds[Common Name]), IFERROR(_xlpm.value, ""))</f>
        <v/>
      </c>
      <c r="F51" s="18" t="str">
        <f>IF(Growing[[#This Row],[Growing Jar]]="None", "None", IF(Growing[[#This Row],[Growing Jar]]="", "", _xlfn.XLOOKUP(Growing[[#This Row],[Growing Jar]],Jars!A:A,Jars!C:C)))</f>
        <v/>
      </c>
      <c r="G51" s="17" t="str" cm="1">
        <f t="array" aca="1" ref="G5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1" s="17" t="str" cm="1">
        <f t="array" ref="H51">_xlfn.LET(_xlpm.value, _xlfn.XLOOKUP(Growing[[#This Row],[Seed Cup]], Cups[Id], Cups[Date Seeded]), IF(_xlpm.value="", "", _xlpm.value))</f>
        <v/>
      </c>
      <c r="I5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1" s="17" t="str">
        <f>IF(_xlfn.SINGLE(Growing[Growing Jar])="", "", TEXT(COUNTIF(Harvest[Growing Jar], _xlfn.SINGLE(Growing[Growing Jar])), "General"))</f>
        <v/>
      </c>
      <c r="Y51" s="17" t="str" cm="1">
        <f t="array" ref="Y51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2" spans="4:25">
      <c r="D52" s="17" t="str" cm="1">
        <f t="array" ref="D52">_xlfn.LET(_xlpm.value, _xlfn.XLOOKUP(Growing[[#This Row],[Seed Cup]], Cups[Id], Cups[Seed]), IF(_xlpm.value="", "", _xlpm.value))</f>
        <v/>
      </c>
      <c r="E52" s="17" t="str" cm="1">
        <f t="array" ref="E52">_xlfn.LET(_xlpm.value, _xlfn.XLOOKUP(Growing[[#This Row],[Seed]], Seeds[Seed], Seeds[Common Name]), IFERROR(_xlpm.value, ""))</f>
        <v/>
      </c>
      <c r="F52" s="18" t="str">
        <f>IF(Growing[[#This Row],[Growing Jar]]="None", "None", IF(Growing[[#This Row],[Growing Jar]]="", "", _xlfn.XLOOKUP(Growing[[#This Row],[Growing Jar]],Jars!A:A,Jars!C:C)))</f>
        <v/>
      </c>
      <c r="G52" s="17" t="str" cm="1">
        <f t="array" aca="1" ref="G5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2" s="17" t="str" cm="1">
        <f t="array" ref="H52">_xlfn.LET(_xlpm.value, _xlfn.XLOOKUP(Growing[[#This Row],[Seed Cup]], Cups[Id], Cups[Date Seeded]), IF(_xlpm.value="", "", _xlpm.value))</f>
        <v/>
      </c>
      <c r="I5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2" s="17" t="str">
        <f>IF(_xlfn.SINGLE(Growing[Growing Jar])="", "", TEXT(COUNTIF(Harvest[Growing Jar], _xlfn.SINGLE(Growing[Growing Jar])), "General"))</f>
        <v/>
      </c>
      <c r="Y52" s="17" t="str" cm="1">
        <f t="array" ref="Y5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3" spans="4:25">
      <c r="D53" s="17" t="str" cm="1">
        <f t="array" ref="D53">_xlfn.LET(_xlpm.value, _xlfn.XLOOKUP(Growing[[#This Row],[Seed Cup]], Cups[Id], Cups[Seed]), IF(_xlpm.value="", "", _xlpm.value))</f>
        <v/>
      </c>
      <c r="E53" s="17" t="str" cm="1">
        <f t="array" ref="E53">_xlfn.LET(_xlpm.value, _xlfn.XLOOKUP(Growing[[#This Row],[Seed]], Seeds[Seed], Seeds[Common Name]), IFERROR(_xlpm.value, ""))</f>
        <v/>
      </c>
      <c r="F53" s="18" t="str">
        <f>IF(Growing[[#This Row],[Growing Jar]]="None", "None", IF(Growing[[#This Row],[Growing Jar]]="", "", _xlfn.XLOOKUP(Growing[[#This Row],[Growing Jar]],Jars!A:A,Jars!C:C)))</f>
        <v/>
      </c>
      <c r="G53" s="17" t="str" cm="1">
        <f t="array" aca="1" ref="G5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3" s="17" t="str" cm="1">
        <f t="array" ref="H53">_xlfn.LET(_xlpm.value, _xlfn.XLOOKUP(Growing[[#This Row],[Seed Cup]], Cups[Id], Cups[Date Seeded]), IF(_xlpm.value="", "", _xlpm.value))</f>
        <v/>
      </c>
      <c r="I5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3" s="17" t="str">
        <f>IF(_xlfn.SINGLE(Growing[Growing Jar])="", "", TEXT(COUNTIF(Harvest[Growing Jar], _xlfn.SINGLE(Growing[Growing Jar])), "General"))</f>
        <v/>
      </c>
      <c r="Y53" s="17" t="str" cm="1">
        <f t="array" ref="Y5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4" spans="4:25">
      <c r="D54" s="17" t="str" cm="1">
        <f t="array" ref="D54">_xlfn.LET(_xlpm.value, _xlfn.XLOOKUP(Growing[[#This Row],[Seed Cup]], Cups[Id], Cups[Seed]), IF(_xlpm.value="", "", _xlpm.value))</f>
        <v/>
      </c>
      <c r="E54" s="17" t="str" cm="1">
        <f t="array" ref="E54">_xlfn.LET(_xlpm.value, _xlfn.XLOOKUP(Growing[[#This Row],[Seed]], Seeds[Seed], Seeds[Common Name]), IFERROR(_xlpm.value, ""))</f>
        <v/>
      </c>
      <c r="F54" s="18" t="str">
        <f>IF(Growing[[#This Row],[Growing Jar]]="None", "None", IF(Growing[[#This Row],[Growing Jar]]="", "", _xlfn.XLOOKUP(Growing[[#This Row],[Growing Jar]],Jars!A:A,Jars!C:C)))</f>
        <v/>
      </c>
      <c r="G54" s="17" t="str" cm="1">
        <f t="array" aca="1" ref="G5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4" s="17" t="str" cm="1">
        <f t="array" ref="H54">_xlfn.LET(_xlpm.value, _xlfn.XLOOKUP(Growing[[#This Row],[Seed Cup]], Cups[Id], Cups[Date Seeded]), IF(_xlpm.value="", "", _xlpm.value))</f>
        <v/>
      </c>
      <c r="I5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4" s="17" t="str">
        <f>IF(_xlfn.SINGLE(Growing[Growing Jar])="", "", TEXT(COUNTIF(Harvest[Growing Jar], _xlfn.SINGLE(Growing[Growing Jar])), "General"))</f>
        <v/>
      </c>
      <c r="Y54" s="17" t="str" cm="1">
        <f t="array" ref="Y5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5" spans="4:25">
      <c r="D55" s="17" t="str" cm="1">
        <f t="array" ref="D55">_xlfn.LET(_xlpm.value, _xlfn.XLOOKUP(Growing[[#This Row],[Seed Cup]], Cups[Id], Cups[Seed]), IF(_xlpm.value="", "", _xlpm.value))</f>
        <v/>
      </c>
      <c r="E55" s="17" t="str" cm="1">
        <f t="array" ref="E55">_xlfn.LET(_xlpm.value, _xlfn.XLOOKUP(Growing[[#This Row],[Seed]], Seeds[Seed], Seeds[Common Name]), IFERROR(_xlpm.value, ""))</f>
        <v/>
      </c>
      <c r="F55" s="18" t="str">
        <f>IF(Growing[[#This Row],[Growing Jar]]="None", "None", IF(Growing[[#This Row],[Growing Jar]]="", "", _xlfn.XLOOKUP(Growing[[#This Row],[Growing Jar]],Jars!A:A,Jars!C:C)))</f>
        <v/>
      </c>
      <c r="G55" s="17" t="str" cm="1">
        <f t="array" aca="1" ref="G5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5" s="17" t="str" cm="1">
        <f t="array" ref="H55">_xlfn.LET(_xlpm.value, _xlfn.XLOOKUP(Growing[[#This Row],[Seed Cup]], Cups[Id], Cups[Date Seeded]), IF(_xlpm.value="", "", _xlpm.value))</f>
        <v/>
      </c>
      <c r="I5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5" s="17" t="str">
        <f>IF(_xlfn.SINGLE(Growing[Growing Jar])="", "", TEXT(COUNTIF(Harvest[Growing Jar], _xlfn.SINGLE(Growing[Growing Jar])), "General"))</f>
        <v/>
      </c>
      <c r="Y55" s="17" t="str" cm="1">
        <f t="array" ref="Y5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6" spans="4:25">
      <c r="D56" s="17" t="str" cm="1">
        <f t="array" ref="D56">_xlfn.LET(_xlpm.value, _xlfn.XLOOKUP(Growing[[#This Row],[Seed Cup]], Cups[Id], Cups[Seed]), IF(_xlpm.value="", "", _xlpm.value))</f>
        <v/>
      </c>
      <c r="E56" s="17" t="str" cm="1">
        <f t="array" ref="E56">_xlfn.LET(_xlpm.value, _xlfn.XLOOKUP(Growing[[#This Row],[Seed]], Seeds[Seed], Seeds[Common Name]), IFERROR(_xlpm.value, ""))</f>
        <v/>
      </c>
      <c r="F56" s="18" t="str">
        <f>IF(Growing[[#This Row],[Growing Jar]]="None", "None", IF(Growing[[#This Row],[Growing Jar]]="", "", _xlfn.XLOOKUP(Growing[[#This Row],[Growing Jar]],Jars!A:A,Jars!C:C)))</f>
        <v/>
      </c>
      <c r="G56" s="17" t="str" cm="1">
        <f t="array" aca="1" ref="G5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6" s="17" t="str" cm="1">
        <f t="array" ref="H56">_xlfn.LET(_xlpm.value, _xlfn.XLOOKUP(Growing[[#This Row],[Seed Cup]], Cups[Id], Cups[Date Seeded]), IF(_xlpm.value="", "", _xlpm.value))</f>
        <v/>
      </c>
      <c r="I5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6" s="17" t="str">
        <f>IF(_xlfn.SINGLE(Growing[Growing Jar])="", "", TEXT(COUNTIF(Harvest[Growing Jar], _xlfn.SINGLE(Growing[Growing Jar])), "General"))</f>
        <v/>
      </c>
      <c r="Y56" s="17" t="str" cm="1">
        <f t="array" ref="Y56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7" spans="4:25">
      <c r="D57" s="17" t="str" cm="1">
        <f t="array" ref="D57">_xlfn.LET(_xlpm.value, _xlfn.XLOOKUP(Growing[[#This Row],[Seed Cup]], Cups[Id], Cups[Seed]), IF(_xlpm.value="", "", _xlpm.value))</f>
        <v/>
      </c>
      <c r="E57" s="17" t="str" cm="1">
        <f t="array" ref="E57">_xlfn.LET(_xlpm.value, _xlfn.XLOOKUP(Growing[[#This Row],[Seed]], Seeds[Seed], Seeds[Common Name]), IFERROR(_xlpm.value, ""))</f>
        <v/>
      </c>
      <c r="F57" s="18" t="str">
        <f>IF(Growing[[#This Row],[Growing Jar]]="None", "None", IF(Growing[[#This Row],[Growing Jar]]="", "", _xlfn.XLOOKUP(Growing[[#This Row],[Growing Jar]],Jars!A:A,Jars!C:C)))</f>
        <v/>
      </c>
      <c r="G57" s="17" t="str" cm="1">
        <f t="array" aca="1" ref="G57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7" s="17" t="str" cm="1">
        <f t="array" ref="H57">_xlfn.LET(_xlpm.value, _xlfn.XLOOKUP(Growing[[#This Row],[Seed Cup]], Cups[Id], Cups[Date Seeded]), IF(_xlpm.value="", "", _xlpm.value))</f>
        <v/>
      </c>
      <c r="I57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7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7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7" s="17" t="str">
        <f>IF(_xlfn.SINGLE(Growing[Growing Jar])="", "", TEXT(COUNTIF(Harvest[Growing Jar], _xlfn.SINGLE(Growing[Growing Jar])), "General"))</f>
        <v/>
      </c>
      <c r="Y57" s="17" t="str" cm="1">
        <f t="array" ref="Y57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8" spans="4:25">
      <c r="D58" s="17" t="str" cm="1">
        <f t="array" ref="D58">_xlfn.LET(_xlpm.value, _xlfn.XLOOKUP(Growing[[#This Row],[Seed Cup]], Cups[Id], Cups[Seed]), IF(_xlpm.value="", "", _xlpm.value))</f>
        <v/>
      </c>
      <c r="E58" s="17" t="str" cm="1">
        <f t="array" ref="E58">_xlfn.LET(_xlpm.value, _xlfn.XLOOKUP(Growing[[#This Row],[Seed]], Seeds[Seed], Seeds[Common Name]), IFERROR(_xlpm.value, ""))</f>
        <v/>
      </c>
      <c r="F58" s="18" t="str">
        <f>IF(Growing[[#This Row],[Growing Jar]]="None", "None", IF(Growing[[#This Row],[Growing Jar]]="", "", _xlfn.XLOOKUP(Growing[[#This Row],[Growing Jar]],Jars!A:A,Jars!C:C)))</f>
        <v/>
      </c>
      <c r="G58" s="17" t="str" cm="1">
        <f t="array" aca="1" ref="G58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8" s="17" t="str" cm="1">
        <f t="array" ref="H58">_xlfn.LET(_xlpm.value, _xlfn.XLOOKUP(Growing[[#This Row],[Seed Cup]], Cups[Id], Cups[Date Seeded]), IF(_xlpm.value="", "", _xlpm.value))</f>
        <v/>
      </c>
      <c r="I58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8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8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8" s="17" t="str">
        <f>IF(_xlfn.SINGLE(Growing[Growing Jar])="", "", TEXT(COUNTIF(Harvest[Growing Jar], _xlfn.SINGLE(Growing[Growing Jar])), "General"))</f>
        <v/>
      </c>
      <c r="Y58" s="17" t="str" cm="1">
        <f t="array" ref="Y58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59" spans="4:25">
      <c r="D59" s="17" t="str" cm="1">
        <f t="array" ref="D59">_xlfn.LET(_xlpm.value, _xlfn.XLOOKUP(Growing[[#This Row],[Seed Cup]], Cups[Id], Cups[Seed]), IF(_xlpm.value="", "", _xlpm.value))</f>
        <v/>
      </c>
      <c r="E59" s="17" t="str" cm="1">
        <f t="array" ref="E59">_xlfn.LET(_xlpm.value, _xlfn.XLOOKUP(Growing[[#This Row],[Seed]], Seeds[Seed], Seeds[Common Name]), IFERROR(_xlpm.value, ""))</f>
        <v/>
      </c>
      <c r="F59" s="18" t="str">
        <f>IF(Growing[[#This Row],[Growing Jar]]="None", "None", IF(Growing[[#This Row],[Growing Jar]]="", "", _xlfn.XLOOKUP(Growing[[#This Row],[Growing Jar]],Jars!A:A,Jars!C:C)))</f>
        <v/>
      </c>
      <c r="G59" s="17" t="str" cm="1">
        <f t="array" aca="1" ref="G59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59" s="17" t="str" cm="1">
        <f t="array" ref="H59">_xlfn.LET(_xlpm.value, _xlfn.XLOOKUP(Growing[[#This Row],[Seed Cup]], Cups[Id], Cups[Date Seeded]), IF(_xlpm.value="", "", _xlpm.value))</f>
        <v/>
      </c>
      <c r="I59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59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59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59" s="17" t="str">
        <f>IF(_xlfn.SINGLE(Growing[Growing Jar])="", "", TEXT(COUNTIF(Harvest[Growing Jar], _xlfn.SINGLE(Growing[Growing Jar])), "General"))</f>
        <v/>
      </c>
      <c r="Y59" s="17" t="str" cm="1">
        <f t="array" ref="Y59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0" spans="4:25">
      <c r="D60" s="17" t="str" cm="1">
        <f t="array" ref="D60">_xlfn.LET(_xlpm.value, _xlfn.XLOOKUP(Growing[[#This Row],[Seed Cup]], Cups[Id], Cups[Seed]), IF(_xlpm.value="", "", _xlpm.value))</f>
        <v/>
      </c>
      <c r="E60" s="17" t="str" cm="1">
        <f t="array" ref="E60">_xlfn.LET(_xlpm.value, _xlfn.XLOOKUP(Growing[[#This Row],[Seed]], Seeds[Seed], Seeds[Common Name]), IFERROR(_xlpm.value, ""))</f>
        <v/>
      </c>
      <c r="F60" s="18" t="str">
        <f>IF(Growing[[#This Row],[Growing Jar]]="None", "None", IF(Growing[[#This Row],[Growing Jar]]="", "", _xlfn.XLOOKUP(Growing[[#This Row],[Growing Jar]],Jars!A:A,Jars!C:C)))</f>
        <v/>
      </c>
      <c r="G60" s="17" t="str" cm="1">
        <f t="array" aca="1" ref="G60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0" s="17" t="str" cm="1">
        <f t="array" ref="H60">_xlfn.LET(_xlpm.value, _xlfn.XLOOKUP(Growing[[#This Row],[Seed Cup]], Cups[Id], Cups[Date Seeded]), IF(_xlpm.value="", "", _xlpm.value))</f>
        <v/>
      </c>
      <c r="I60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0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0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0" s="17" t="str">
        <f>IF(_xlfn.SINGLE(Growing[Growing Jar])="", "", TEXT(COUNTIF(Harvest[Growing Jar], _xlfn.SINGLE(Growing[Growing Jar])), "General"))</f>
        <v/>
      </c>
      <c r="Y60" s="17" t="str" cm="1">
        <f t="array" ref="Y60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1" spans="4:25">
      <c r="D61" s="17" t="str" cm="1">
        <f t="array" ref="D61">_xlfn.LET(_xlpm.value, _xlfn.XLOOKUP(Growing[[#This Row],[Seed Cup]], Cups[Id], Cups[Seed]), IF(_xlpm.value="", "", _xlpm.value))</f>
        <v/>
      </c>
      <c r="E61" s="17" t="str" cm="1">
        <f t="array" ref="E61">_xlfn.LET(_xlpm.value, _xlfn.XLOOKUP(Growing[[#This Row],[Seed]], Seeds[Seed], Seeds[Common Name]), IFERROR(_xlpm.value, ""))</f>
        <v/>
      </c>
      <c r="F61" s="18" t="str">
        <f>IF(Growing[[#This Row],[Growing Jar]]="None", "None", IF(Growing[[#This Row],[Growing Jar]]="", "", _xlfn.XLOOKUP(Growing[[#This Row],[Growing Jar]],Jars!A:A,Jars!C:C)))</f>
        <v/>
      </c>
      <c r="G61" s="17" t="str" cm="1">
        <f t="array" aca="1" ref="G61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1" s="17" t="str" cm="1">
        <f t="array" ref="H61">_xlfn.LET(_xlpm.value, _xlfn.XLOOKUP(Growing[[#This Row],[Seed Cup]], Cups[Id], Cups[Date Seeded]), IF(_xlpm.value="", "", _xlpm.value))</f>
        <v/>
      </c>
      <c r="I61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1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1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1" s="17" t="str">
        <f>IF(_xlfn.SINGLE(Growing[Growing Jar])="", "", TEXT(COUNTIF(Harvest[Growing Jar], _xlfn.SINGLE(Growing[Growing Jar])), "General"))</f>
        <v/>
      </c>
      <c r="Y61" s="17" t="str" cm="1">
        <f t="array" ref="Y61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2" spans="4:25">
      <c r="D62" s="17" t="str" cm="1">
        <f t="array" ref="D62">_xlfn.LET(_xlpm.value, _xlfn.XLOOKUP(Growing[[#This Row],[Seed Cup]], Cups[Id], Cups[Seed]), IF(_xlpm.value="", "", _xlpm.value))</f>
        <v/>
      </c>
      <c r="E62" s="17" t="str" cm="1">
        <f t="array" ref="E62">_xlfn.LET(_xlpm.value, _xlfn.XLOOKUP(Growing[[#This Row],[Seed]], Seeds[Seed], Seeds[Common Name]), IFERROR(_xlpm.value, ""))</f>
        <v/>
      </c>
      <c r="F62" s="18" t="str">
        <f>IF(Growing[[#This Row],[Growing Jar]]="None", "None", IF(Growing[[#This Row],[Growing Jar]]="", "", _xlfn.XLOOKUP(Growing[[#This Row],[Growing Jar]],Jars!A:A,Jars!C:C)))</f>
        <v/>
      </c>
      <c r="G62" s="17" t="str" cm="1">
        <f t="array" aca="1" ref="G62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2" s="17" t="str" cm="1">
        <f t="array" ref="H62">_xlfn.LET(_xlpm.value, _xlfn.XLOOKUP(Growing[[#This Row],[Seed Cup]], Cups[Id], Cups[Date Seeded]), IF(_xlpm.value="", "", _xlpm.value))</f>
        <v/>
      </c>
      <c r="I62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2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2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2" s="17" t="str">
        <f>IF(_xlfn.SINGLE(Growing[Growing Jar])="", "", TEXT(COUNTIF(Harvest[Growing Jar], _xlfn.SINGLE(Growing[Growing Jar])), "General"))</f>
        <v/>
      </c>
      <c r="Y62" s="17" t="str" cm="1">
        <f t="array" ref="Y62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3" spans="4:25">
      <c r="D63" s="17" t="str" cm="1">
        <f t="array" ref="D63">_xlfn.LET(_xlpm.value, _xlfn.XLOOKUP(Growing[[#This Row],[Seed Cup]], Cups[Id], Cups[Seed]), IF(_xlpm.value="", "", _xlpm.value))</f>
        <v/>
      </c>
      <c r="E63" s="17" t="str" cm="1">
        <f t="array" ref="E63">_xlfn.LET(_xlpm.value, _xlfn.XLOOKUP(Growing[[#This Row],[Seed]], Seeds[Seed], Seeds[Common Name]), IFERROR(_xlpm.value, ""))</f>
        <v/>
      </c>
      <c r="F63" s="18" t="str">
        <f>IF(Growing[[#This Row],[Growing Jar]]="None", "None", IF(Growing[[#This Row],[Growing Jar]]="", "", _xlfn.XLOOKUP(Growing[[#This Row],[Growing Jar]],Jars!A:A,Jars!C:C)))</f>
        <v/>
      </c>
      <c r="G63" s="17" t="str" cm="1">
        <f t="array" aca="1" ref="G63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3" s="17" t="str" cm="1">
        <f t="array" ref="H63">_xlfn.LET(_xlpm.value, _xlfn.XLOOKUP(Growing[[#This Row],[Seed Cup]], Cups[Id], Cups[Date Seeded]), IF(_xlpm.value="", "", _xlpm.value))</f>
        <v/>
      </c>
      <c r="I63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3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3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3" s="17" t="str">
        <f>IF(_xlfn.SINGLE(Growing[Growing Jar])="", "", TEXT(COUNTIF(Harvest[Growing Jar], _xlfn.SINGLE(Growing[Growing Jar])), "General"))</f>
        <v/>
      </c>
      <c r="Y63" s="17" t="str" cm="1">
        <f t="array" ref="Y63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4" spans="4:25">
      <c r="D64" s="17" t="str" cm="1">
        <f t="array" ref="D64">_xlfn.LET(_xlpm.value, _xlfn.XLOOKUP(Growing[[#This Row],[Seed Cup]], Cups[Id], Cups[Seed]), IF(_xlpm.value="", "", _xlpm.value))</f>
        <v/>
      </c>
      <c r="E64" s="17" t="str" cm="1">
        <f t="array" ref="E64">_xlfn.LET(_xlpm.value, _xlfn.XLOOKUP(Growing[[#This Row],[Seed]], Seeds[Seed], Seeds[Common Name]), IFERROR(_xlpm.value, ""))</f>
        <v/>
      </c>
      <c r="F64" s="18" t="str">
        <f>IF(Growing[[#This Row],[Growing Jar]]="None", "None", IF(Growing[[#This Row],[Growing Jar]]="", "", _xlfn.XLOOKUP(Growing[[#This Row],[Growing Jar]],Jars!A:A,Jars!C:C)))</f>
        <v/>
      </c>
      <c r="G64" s="17" t="str" cm="1">
        <f t="array" aca="1" ref="G64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4" s="17" t="str" cm="1">
        <f t="array" ref="H64">_xlfn.LET(_xlpm.value, _xlfn.XLOOKUP(Growing[[#This Row],[Seed Cup]], Cups[Id], Cups[Date Seeded]), IF(_xlpm.value="", "", _xlpm.value))</f>
        <v/>
      </c>
      <c r="I64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4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4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4" s="17" t="str">
        <f>IF(_xlfn.SINGLE(Growing[Growing Jar])="", "", TEXT(COUNTIF(Harvest[Growing Jar], _xlfn.SINGLE(Growing[Growing Jar])), "General"))</f>
        <v/>
      </c>
      <c r="Y64" s="17" t="str" cm="1">
        <f t="array" ref="Y64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5" spans="4:25">
      <c r="D65" s="17" t="str" cm="1">
        <f t="array" ref="D65">_xlfn.LET(_xlpm.value, _xlfn.XLOOKUP(Growing[[#This Row],[Seed Cup]], Cups[Id], Cups[Seed]), IF(_xlpm.value="", "", _xlpm.value))</f>
        <v/>
      </c>
      <c r="E65" s="17" t="str" cm="1">
        <f t="array" ref="E65">_xlfn.LET(_xlpm.value, _xlfn.XLOOKUP(Growing[[#This Row],[Seed]], Seeds[Seed], Seeds[Common Name]), IFERROR(_xlpm.value, ""))</f>
        <v/>
      </c>
      <c r="F65" s="18" t="str">
        <f>IF(Growing[[#This Row],[Growing Jar]]="None", "None", IF(Growing[[#This Row],[Growing Jar]]="", "", _xlfn.XLOOKUP(Growing[[#This Row],[Growing Jar]],Jars!A:A,Jars!C:C)))</f>
        <v/>
      </c>
      <c r="G65" s="17" t="str" cm="1">
        <f t="array" aca="1" ref="G65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5" s="17" t="str" cm="1">
        <f t="array" ref="H65">_xlfn.LET(_xlpm.value, _xlfn.XLOOKUP(Growing[[#This Row],[Seed Cup]], Cups[Id], Cups[Date Seeded]), IF(_xlpm.value="", "", _xlpm.value))</f>
        <v/>
      </c>
      <c r="I65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5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5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5" s="17" t="str">
        <f>IF(_xlfn.SINGLE(Growing[Growing Jar])="", "", TEXT(COUNTIF(Harvest[Growing Jar], _xlfn.SINGLE(Growing[Growing Jar])), "General"))</f>
        <v/>
      </c>
      <c r="Y65" s="17" t="str" cm="1">
        <f t="array" ref="Y65">_xlfn.LET(_xlpm.root_mass, _xlfn.SINGLE(Growing[Root Dry Mass (g)]), IF(_xlpm.root_mass="", "", IF(_xlpm.root_mass="None", "None", IF(_xlpm.root_mass="Unknown", "Unknown", _xlpm.root_mass / _xlfn.SINGLE(Growing[Stem Dry Mass (g)])))))</f>
        <v/>
      </c>
    </row>
    <row r="66" spans="4:25">
      <c r="D66" s="17" t="str" cm="1">
        <f t="array" ref="D66">_xlfn.LET(_xlpm.value, _xlfn.XLOOKUP(Growing[[#This Row],[Seed Cup]], Cups[Id], Cups[Seed]), IF(_xlpm.value="", "", _xlpm.value))</f>
        <v/>
      </c>
      <c r="E66" s="17" t="str" cm="1">
        <f t="array" ref="E66">_xlfn.LET(_xlpm.value, _xlfn.XLOOKUP(Growing[[#This Row],[Seed]], Seeds[Seed], Seeds[Common Name]), IFERROR(_xlpm.value, ""))</f>
        <v/>
      </c>
      <c r="F66" s="18" t="str">
        <f>IF(Growing[[#This Row],[Growing Jar]]="None", "None", IF(Growing[[#This Row],[Growing Jar]]="", "", _xlfn.XLOOKUP(Growing[[#This Row],[Growing Jar]],Jars!A:A,Jars!C:C)))</f>
        <v/>
      </c>
      <c r="G66" s="17" t="str" cm="1">
        <f t="array" aca="1" ref="G66" ca="1">_xlfn.LET(
    _xlpm.seeded,Growing[[#This Row],[Date Seeded]],
    _xlpm.transplant,Growing[[#This Row],[Transplant Date]],
    _xlpm.harvest,Growing[[#This Row],[Expected Harvest]],
    _xlpm.terminated,Growing[[#This Row],[Date Terminated]],
    IF(
        _xlpm.seeded="",
        "",
        IF(
            _xlpm.transplant="",
            "Seeding",
            IF(
                _xlpm.terminated&lt;&gt;"",
                "Finished",
                IF(
                    TODAY()&gt;=DATEVALUE(_xlpm.harvest),
                    "Ready",
                    "Growing"
                )
            )
        )
    )
)</f>
        <v/>
      </c>
      <c r="H66" s="17" t="str" cm="1">
        <f t="array" ref="H66">_xlfn.LET(_xlpm.value, _xlfn.XLOOKUP(Growing[[#This Row],[Seed Cup]], Cups[Id], Cups[Date Seeded]), IF(_xlpm.value="", "", _xlpm.value))</f>
        <v/>
      </c>
      <c r="I66" s="17" t="str">
        <f>IF(Growing[[#This Row],[Date Seeded]]="", "", IF(Growing[[#This Row],[Date Seeded]]="Unknown", "Unknown", TEXT(Growing[[#This Row],[Date Seeded]]+_xlfn.XLOOKUP(Growing[[#This Row],[Seed]],Seeds[Seed],Seeds[Days Until Germination (min)]),"yyyy-MM-dd")))</f>
        <v/>
      </c>
      <c r="J66" s="17" t="str">
        <f>IF(Growing[[#This Row],[Date Seeded]]="", "", IF(Growing[[#This Row],[Date Seeded]]="Unknown", "Unknown", TEXT(Growing[[#This Row],[Date Seeded]]+_xlfn.XLOOKUP(Growing[[#This Row],[Seed]],Seeds[Seed],Seeds[Days Until Germination (max)]),"yyyy-MM-dd")))</f>
        <v/>
      </c>
      <c r="O66" s="17" t="str">
        <f>IF(Growing[[#This Row],[Actual Germination]]="", "", IF(Growing[[#This Row],[Actual Germination]]="None", "None", IF(Growing[[#This Row],[Actual Germination]]="Unknown", "Unknown", TEXT(Growing[[#This Row],[Actual Germination]]+_xlfn.XLOOKUP(Growing[[#This Row],[Seed]],Seeds[Seed],Seeds[Days Until Maturity]),"yyyy-MM-dd"))))</f>
        <v/>
      </c>
      <c r="P66" s="17" t="str">
        <f>IF(_xlfn.SINGLE(Growing[Growing Jar])="", "", TEXT(COUNTIF(Harvest[Growing Jar], _xlfn.SINGLE(Growing[Growing Jar])), "General"))</f>
        <v/>
      </c>
      <c r="Y66" s="17" t="str" cm="1">
        <f t="array" ref="Y66">_xlfn.LET(_xlpm.root_mass, _xlfn.SINGLE(Growing[Root Dry Mass (g)]), IF(_xlpm.root_mass="", "", IF(_xlpm.root_mass="None", "None", IF(_xlpm.root_mass="Unknown", "Unknown", _xlpm.root_mass / _xlfn.SINGLE(Growing[Stem Dry Mass (g)])))))</f>
        <v/>
      </c>
    </row>
  </sheetData>
  <conditionalFormatting sqref="M12 A37:A38 I11:M11 I12:K12 I13:M999999 A11:B36 A39:B999999 C11:H999999 N11:AB999999">
    <cfRule type="expression" dxfId="116" priority="121">
      <formula>AND($Q11="",$M11&lt;&gt;"")</formula>
    </cfRule>
  </conditionalFormatting>
  <conditionalFormatting sqref="I12:K12 A37:A38 I11:M11 M12 I13:M999999 A39:B999999 G39:G999999 A11:B36 G11:G36 C11:F999999 H11:H999999 N11:AB999999">
    <cfRule type="expression" dxfId="115" priority="308">
      <formula>AND($M11="",$A11&lt;&gt;"")</formula>
    </cfRule>
  </conditionalFormatting>
  <conditionalFormatting sqref="A11:AF999999">
    <cfRule type="expression" dxfId="114" priority="2">
      <formula>AND(A11="", $A11&lt;&gt;"", A$10&lt;&gt;"")</formula>
    </cfRule>
  </conditionalFormatting>
  <conditionalFormatting sqref="A11:AF999999">
    <cfRule type="expression" dxfId="113" priority="1">
      <formula>_xlfn.ISFORMULA(A11)</formula>
    </cfRule>
  </conditionalFormatting>
  <dataValidations count="4">
    <dataValidation allowBlank="1" showInputMessage="1" showErrorMessage="1" sqref="S10:V10" xr:uid="{6671CBCE-1EAC-49A4-A9B7-49452105ABDB}"/>
    <dataValidation type="list" allowBlank="1" showInputMessage="1" showErrorMessage="1" sqref="S22:T22 S28:T32 S20:T20" xr:uid="{7FF55418-DD74-47C3-896C-4A62690C8B5B}">
      <formula1>#REF!</formula1>
    </dataValidation>
    <dataValidation type="list" allowBlank="1" showInputMessage="1" showErrorMessage="1" sqref="U11:U66" xr:uid="{4461E6D6-043C-4070-9A94-FB011330AF24}">
      <formula1>List\Root_Color</formula1>
    </dataValidation>
    <dataValidation type="list" allowBlank="1" showInputMessage="1" showErrorMessage="1" sqref="V11:V66" xr:uid="{E78731ED-8622-41AA-A01D-4A97B84DE1CD}">
      <formula1>List\Root_Texture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5A02C39-861D-40A6-AEC4-625F7CCFE957}">
          <x14:formula1>
            <xm:f>'Data Validation'!$H$11:$H$15</xm:f>
          </x14:formula1>
          <xm:sqref>S20:T20 S22:T22 S28:T32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7286B-507D-4991-980C-BB79FC463B27}">
  <dimension ref="A9:G10"/>
  <sheetViews>
    <sheetView topLeftCell="A3" workbookViewId="0">
      <selection activeCell="A10" sqref="A10"/>
    </sheetView>
  </sheetViews>
  <sheetFormatPr defaultRowHeight="15"/>
  <cols>
    <col min="1" max="1" width="11.42578125" bestFit="1" customWidth="1"/>
    <col min="2" max="2" width="18" customWidth="1"/>
    <col min="3" max="3" width="13.140625" customWidth="1"/>
    <col min="4" max="4" width="13.5703125" customWidth="1"/>
    <col min="5" max="5" width="11.42578125" bestFit="1" customWidth="1"/>
    <col min="6" max="6" width="12.85546875" customWidth="1"/>
    <col min="7" max="7" width="100.42578125" customWidth="1"/>
  </cols>
  <sheetData>
    <row r="9" spans="1:7">
      <c r="C9" t="s">
        <v>730</v>
      </c>
      <c r="D9" t="s">
        <v>731</v>
      </c>
    </row>
    <row r="10" spans="1:7">
      <c r="A10" t="s">
        <v>168</v>
      </c>
      <c r="B10" t="s">
        <v>732</v>
      </c>
      <c r="C10" t="s">
        <v>733</v>
      </c>
      <c r="D10" t="s">
        <v>734</v>
      </c>
      <c r="E10" t="s">
        <v>735</v>
      </c>
      <c r="F10" t="s">
        <v>736</v>
      </c>
      <c r="G10" t="s">
        <v>106</v>
      </c>
    </row>
  </sheetData>
  <conditionalFormatting sqref="A11:AX99999">
    <cfRule type="expression" dxfId="82" priority="2">
      <formula>AND(A11="", $A11&lt;&gt;"", A$10&lt;&gt;"")</formula>
    </cfRule>
  </conditionalFormatting>
  <conditionalFormatting sqref="A11:AX99999">
    <cfRule type="expression" dxfId="81" priority="1">
      <formula>_xlfn.ISFORMULA(A11)</formula>
    </cfRule>
  </conditionalFormatting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B8009-15E9-4D43-8362-7A492045949E}">
  <dimension ref="A1:J27"/>
  <sheetViews>
    <sheetView workbookViewId="0">
      <pane xSplit="2" topLeftCell="C6" activePane="topRight" state="frozen"/>
      <selection pane="topRight" activeCell="H7" sqref="H7"/>
    </sheetView>
  </sheetViews>
  <sheetFormatPr defaultRowHeight="15"/>
  <cols>
    <col min="1" max="1" width="15.28515625" customWidth="1"/>
    <col min="2" max="2" width="12" customWidth="1"/>
    <col min="3" max="3" width="16.5703125" customWidth="1"/>
    <col min="4" max="4" width="18.85546875" customWidth="1"/>
    <col min="5" max="5" width="21.28515625" customWidth="1"/>
    <col min="6" max="6" width="21.140625" customWidth="1"/>
    <col min="7" max="7" width="19" customWidth="1"/>
    <col min="8" max="8" width="14.140625" customWidth="1"/>
    <col min="9" max="9" width="10.42578125" customWidth="1"/>
    <col min="10" max="10" width="76" customWidth="1"/>
  </cols>
  <sheetData>
    <row r="1" spans="1:10">
      <c r="I1" t="s">
        <v>14</v>
      </c>
    </row>
    <row r="2" spans="1:10">
      <c r="I2" t="s">
        <v>638</v>
      </c>
    </row>
    <row r="3" spans="1:10">
      <c r="I3" t="s">
        <v>639</v>
      </c>
    </row>
    <row r="10" spans="1:10">
      <c r="A10" t="s">
        <v>568</v>
      </c>
      <c r="B10" t="s">
        <v>737</v>
      </c>
      <c r="C10" t="s">
        <v>642</v>
      </c>
      <c r="D10" t="s">
        <v>580</v>
      </c>
      <c r="E10" t="s">
        <v>738</v>
      </c>
      <c r="F10" t="s">
        <v>739</v>
      </c>
      <c r="G10" t="s">
        <v>740</v>
      </c>
      <c r="H10" t="s">
        <v>741</v>
      </c>
      <c r="I10" t="s">
        <v>645</v>
      </c>
      <c r="J10" t="s">
        <v>106</v>
      </c>
    </row>
    <row r="11" spans="1:10">
      <c r="A11" t="s">
        <v>153</v>
      </c>
      <c r="B11" t="s">
        <v>14</v>
      </c>
      <c r="C11" t="s">
        <v>597</v>
      </c>
      <c r="D11" t="s">
        <v>560</v>
      </c>
      <c r="E11" t="s">
        <v>14</v>
      </c>
      <c r="F11" t="s">
        <v>14</v>
      </c>
      <c r="G11" t="s">
        <v>14</v>
      </c>
      <c r="H11" s="10" t="s">
        <v>179</v>
      </c>
      <c r="I11" t="s">
        <v>14</v>
      </c>
    </row>
    <row r="12" spans="1:10">
      <c r="A12" t="s">
        <v>153</v>
      </c>
      <c r="B12" t="s">
        <v>14</v>
      </c>
      <c r="C12" t="s">
        <v>598</v>
      </c>
      <c r="D12" t="s">
        <v>558</v>
      </c>
      <c r="E12" t="s">
        <v>14</v>
      </c>
      <c r="F12" t="s">
        <v>14</v>
      </c>
      <c r="G12" t="s">
        <v>14</v>
      </c>
      <c r="H12" s="10" t="s">
        <v>179</v>
      </c>
      <c r="I12" t="s">
        <v>14</v>
      </c>
    </row>
    <row r="13" spans="1:10">
      <c r="A13" t="s">
        <v>157</v>
      </c>
      <c r="B13" t="s">
        <v>14</v>
      </c>
      <c r="C13" t="s">
        <v>597</v>
      </c>
      <c r="D13" t="s">
        <v>558</v>
      </c>
      <c r="E13" t="s">
        <v>14</v>
      </c>
      <c r="F13" t="s">
        <v>14</v>
      </c>
      <c r="G13" t="s">
        <v>14</v>
      </c>
      <c r="H13" s="10" t="s">
        <v>179</v>
      </c>
      <c r="I13" t="s">
        <v>14</v>
      </c>
    </row>
    <row r="14" spans="1:10">
      <c r="A14" t="s">
        <v>161</v>
      </c>
      <c r="B14" t="s">
        <v>14</v>
      </c>
      <c r="C14" t="s">
        <v>597</v>
      </c>
      <c r="D14" t="s">
        <v>558</v>
      </c>
      <c r="E14" t="s">
        <v>14</v>
      </c>
      <c r="F14" t="s">
        <v>14</v>
      </c>
      <c r="G14" t="s">
        <v>14</v>
      </c>
      <c r="H14" s="10" t="s">
        <v>179</v>
      </c>
      <c r="I14" t="s">
        <v>14</v>
      </c>
    </row>
    <row r="15" spans="1:10">
      <c r="A15" t="s">
        <v>389</v>
      </c>
      <c r="B15" t="s">
        <v>14</v>
      </c>
      <c r="C15" t="s">
        <v>597</v>
      </c>
      <c r="D15" t="s">
        <v>560</v>
      </c>
      <c r="E15" t="s">
        <v>14</v>
      </c>
      <c r="F15" t="s">
        <v>14</v>
      </c>
      <c r="G15" t="s">
        <v>14</v>
      </c>
      <c r="H15" s="10" t="s">
        <v>179</v>
      </c>
      <c r="I15" t="s">
        <v>14</v>
      </c>
    </row>
    <row r="16" spans="1:10">
      <c r="A16" t="s">
        <v>389</v>
      </c>
      <c r="B16" t="s">
        <v>14</v>
      </c>
      <c r="C16" t="s">
        <v>598</v>
      </c>
      <c r="D16" t="s">
        <v>558</v>
      </c>
      <c r="E16" t="s">
        <v>14</v>
      </c>
      <c r="F16" t="s">
        <v>14</v>
      </c>
      <c r="G16" t="s">
        <v>14</v>
      </c>
      <c r="H16" s="10" t="s">
        <v>179</v>
      </c>
      <c r="I16" t="s">
        <v>14</v>
      </c>
    </row>
    <row r="17" spans="1:9">
      <c r="A17" t="s">
        <v>398</v>
      </c>
      <c r="B17" t="s">
        <v>14</v>
      </c>
      <c r="C17" t="s">
        <v>606</v>
      </c>
      <c r="D17" t="s">
        <v>558</v>
      </c>
      <c r="E17" t="s">
        <v>607</v>
      </c>
      <c r="F17" t="s">
        <v>14</v>
      </c>
      <c r="G17" t="s">
        <v>14</v>
      </c>
      <c r="H17" s="10" t="s">
        <v>179</v>
      </c>
      <c r="I17" t="s">
        <v>14</v>
      </c>
    </row>
    <row r="18" spans="1:9">
      <c r="A18" t="s">
        <v>404</v>
      </c>
      <c r="B18" t="s">
        <v>14</v>
      </c>
      <c r="C18" t="s">
        <v>606</v>
      </c>
      <c r="D18" t="s">
        <v>558</v>
      </c>
      <c r="E18" t="s">
        <v>14</v>
      </c>
      <c r="F18" t="s">
        <v>14</v>
      </c>
      <c r="G18" t="s">
        <v>14</v>
      </c>
      <c r="H18" s="10" t="s">
        <v>179</v>
      </c>
      <c r="I18" t="s">
        <v>14</v>
      </c>
    </row>
    <row r="19" spans="1:9">
      <c r="A19" t="s">
        <v>409</v>
      </c>
      <c r="B19" t="s">
        <v>14</v>
      </c>
      <c r="C19" t="s">
        <v>609</v>
      </c>
      <c r="D19" t="s">
        <v>558</v>
      </c>
      <c r="E19" t="s">
        <v>610</v>
      </c>
      <c r="F19" t="s">
        <v>14</v>
      </c>
      <c r="G19" t="s">
        <v>14</v>
      </c>
      <c r="H19" s="10" t="s">
        <v>179</v>
      </c>
      <c r="I19" t="s">
        <v>14</v>
      </c>
    </row>
    <row r="20" spans="1:9">
      <c r="A20" t="s">
        <v>414</v>
      </c>
      <c r="B20" t="s">
        <v>14</v>
      </c>
      <c r="C20" t="s">
        <v>606</v>
      </c>
      <c r="D20" t="s">
        <v>558</v>
      </c>
      <c r="E20" t="s">
        <v>612</v>
      </c>
      <c r="F20" t="s">
        <v>14</v>
      </c>
      <c r="G20" t="s">
        <v>14</v>
      </c>
      <c r="H20" s="10" t="s">
        <v>179</v>
      </c>
      <c r="I20" t="s">
        <v>14</v>
      </c>
    </row>
    <row r="21" spans="1:9">
      <c r="A21" t="s">
        <v>327</v>
      </c>
      <c r="B21" t="s">
        <v>14</v>
      </c>
      <c r="C21" t="s">
        <v>615</v>
      </c>
      <c r="D21" t="s">
        <v>558</v>
      </c>
      <c r="E21" t="s">
        <v>610</v>
      </c>
      <c r="F21" t="s">
        <v>157</v>
      </c>
      <c r="G21" t="s">
        <v>14</v>
      </c>
      <c r="H21" s="10" t="s">
        <v>153</v>
      </c>
      <c r="I21" t="s">
        <v>14</v>
      </c>
    </row>
    <row r="22" spans="1:9">
      <c r="A22" t="s">
        <v>424</v>
      </c>
      <c r="B22" t="s">
        <v>14</v>
      </c>
      <c r="C22" t="s">
        <v>609</v>
      </c>
      <c r="D22" t="s">
        <v>558</v>
      </c>
      <c r="E22" t="s">
        <v>188</v>
      </c>
      <c r="F22" t="s">
        <v>14</v>
      </c>
      <c r="G22" t="s">
        <v>14</v>
      </c>
      <c r="H22" s="10" t="s">
        <v>179</v>
      </c>
      <c r="I22" t="s">
        <v>14</v>
      </c>
    </row>
    <row r="23" spans="1:9">
      <c r="A23" t="s">
        <v>428</v>
      </c>
      <c r="B23" t="s">
        <v>14</v>
      </c>
      <c r="C23" t="s">
        <v>615</v>
      </c>
      <c r="D23" t="s">
        <v>558</v>
      </c>
      <c r="E23" t="s">
        <v>618</v>
      </c>
      <c r="F23" t="s">
        <v>157</v>
      </c>
      <c r="G23" t="s">
        <v>14</v>
      </c>
      <c r="H23" s="10" t="s">
        <v>153</v>
      </c>
      <c r="I23" t="s">
        <v>14</v>
      </c>
    </row>
    <row r="24" spans="1:9">
      <c r="A24" t="s">
        <v>432</v>
      </c>
      <c r="B24" t="s">
        <v>14</v>
      </c>
      <c r="C24" t="s">
        <v>609</v>
      </c>
      <c r="D24" t="s">
        <v>558</v>
      </c>
      <c r="E24" t="s">
        <v>180</v>
      </c>
      <c r="F24" t="s">
        <v>14</v>
      </c>
      <c r="G24" t="s">
        <v>14</v>
      </c>
      <c r="H24" s="10" t="s">
        <v>179</v>
      </c>
      <c r="I24" t="s">
        <v>14</v>
      </c>
    </row>
    <row r="25" spans="1:9">
      <c r="A25" t="s">
        <v>437</v>
      </c>
      <c r="B25" t="s">
        <v>14</v>
      </c>
      <c r="C25" t="s">
        <v>609</v>
      </c>
      <c r="D25" t="s">
        <v>558</v>
      </c>
      <c r="E25" t="s">
        <v>612</v>
      </c>
      <c r="F25" t="s">
        <v>14</v>
      </c>
      <c r="G25" t="s">
        <v>14</v>
      </c>
      <c r="H25" s="10" t="s">
        <v>179</v>
      </c>
      <c r="I25" t="s">
        <v>14</v>
      </c>
    </row>
    <row r="26" spans="1:9">
      <c r="A26" t="s">
        <v>446</v>
      </c>
      <c r="B26" t="s">
        <v>14</v>
      </c>
      <c r="C26" t="s">
        <v>609</v>
      </c>
      <c r="D26" t="s">
        <v>558</v>
      </c>
      <c r="E26" t="s">
        <v>14</v>
      </c>
      <c r="F26" t="s">
        <v>14</v>
      </c>
      <c r="G26" t="s">
        <v>14</v>
      </c>
      <c r="H26" s="10" t="s">
        <v>179</v>
      </c>
      <c r="I26" t="s">
        <v>14</v>
      </c>
    </row>
    <row r="27" spans="1:9">
      <c r="A27" s="10" t="s">
        <v>456</v>
      </c>
      <c r="B27" t="s">
        <v>14</v>
      </c>
      <c r="C27" s="10" t="s">
        <v>742</v>
      </c>
      <c r="D27" t="s">
        <v>560</v>
      </c>
      <c r="E27" s="10" t="s">
        <v>398</v>
      </c>
      <c r="F27" s="10" t="s">
        <v>179</v>
      </c>
      <c r="G27" t="s">
        <v>14</v>
      </c>
      <c r="H27" s="10" t="s">
        <v>153</v>
      </c>
      <c r="I27" t="s">
        <v>638</v>
      </c>
    </row>
  </sheetData>
  <conditionalFormatting sqref="A11:AF999999">
    <cfRule type="expression" dxfId="80" priority="1">
      <formula>AND(A11="", $A11&lt;&gt;"", A$10&lt;&gt;"")</formula>
    </cfRule>
  </conditionalFormatting>
  <dataValidations count="1">
    <dataValidation type="list" allowBlank="1" showInputMessage="1" showErrorMessage="1" sqref="D11:D26" xr:uid="{771BE00B-9BAA-4944-B746-CA4D0947E3D6}">
      <formula1>$L$1:$L$3</formula1>
    </dataValidation>
  </dataValidation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F3EAA-860F-4531-8D36-BE9C418014E0}">
  <dimension ref="A1:J10"/>
  <sheetViews>
    <sheetView workbookViewId="0">
      <pane xSplit="1" topLeftCell="B7" activePane="topRight" state="frozen"/>
      <selection pane="topRight" activeCell="B11" sqref="B11"/>
    </sheetView>
  </sheetViews>
  <sheetFormatPr defaultRowHeight="15"/>
  <cols>
    <col min="1" max="1" width="6.5703125" customWidth="1"/>
    <col min="2" max="2" width="13.5703125" customWidth="1"/>
    <col min="3" max="3" width="20.42578125" customWidth="1"/>
    <col min="4" max="4" width="18.42578125" customWidth="1"/>
    <col min="5" max="5" width="19.140625" customWidth="1"/>
    <col min="6" max="7" width="18" customWidth="1"/>
    <col min="8" max="8" width="17.85546875" customWidth="1"/>
    <col min="9" max="9" width="17.28515625" customWidth="1"/>
    <col min="10" max="10" width="76" customWidth="1"/>
  </cols>
  <sheetData>
    <row r="1" spans="1:10">
      <c r="I1" t="s">
        <v>14</v>
      </c>
    </row>
    <row r="2" spans="1:10">
      <c r="I2" t="s">
        <v>36</v>
      </c>
    </row>
    <row r="3" spans="1:10">
      <c r="I3" t="s">
        <v>640</v>
      </c>
    </row>
    <row r="4" spans="1:10">
      <c r="I4" t="s">
        <v>641</v>
      </c>
    </row>
    <row r="10" spans="1:10">
      <c r="A10" t="s">
        <v>147</v>
      </c>
      <c r="B10" t="s">
        <v>743</v>
      </c>
      <c r="C10" t="s">
        <v>744</v>
      </c>
      <c r="D10" t="s">
        <v>644</v>
      </c>
      <c r="E10" t="s">
        <v>745</v>
      </c>
      <c r="F10" t="s">
        <v>647</v>
      </c>
      <c r="G10" t="s">
        <v>648</v>
      </c>
      <c r="H10" t="s">
        <v>649</v>
      </c>
      <c r="I10" t="s">
        <v>650</v>
      </c>
      <c r="J10" t="s">
        <v>106</v>
      </c>
    </row>
  </sheetData>
  <conditionalFormatting sqref="A11:AG999999">
    <cfRule type="expression" dxfId="79" priority="1">
      <formula>AND(A11="", $A11&lt;&gt;"", A$10&lt;&gt;"")</formula>
    </cfRule>
  </conditionalFormatting>
  <dataValidations count="1">
    <dataValidation type="list" allowBlank="1" showInputMessage="1" showErrorMessage="1" sqref="I10:I46" xr:uid="{D0CDBFCF-DF64-4AF1-BE63-ECFB993333DA}">
      <formula1>$I$1:$I$4</formula1>
    </dataValidation>
  </dataValidations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opLeftCell="A7" workbookViewId="0">
      <selection activeCell="G18" sqref="G18"/>
    </sheetView>
  </sheetViews>
  <sheetFormatPr defaultRowHeight="15"/>
  <cols>
    <col min="1" max="1" width="10.85546875" style="1" bestFit="1" customWidth="1"/>
    <col min="2" max="2" width="17.5703125" style="1" bestFit="1" customWidth="1"/>
    <col min="3" max="3" width="17.5703125" style="1" customWidth="1"/>
    <col min="4" max="4" width="11.85546875" style="1" customWidth="1"/>
    <col min="5" max="5" width="8.42578125" style="1" customWidth="1"/>
    <col min="6" max="6" width="12.42578125" style="1" customWidth="1"/>
    <col min="7" max="7" width="19.7109375" style="1" customWidth="1"/>
    <col min="8" max="8" width="19" style="1" bestFit="1" customWidth="1"/>
    <col min="9" max="9" width="49.85546875" style="1" customWidth="1"/>
    <col min="10" max="16384" width="9.140625" style="1"/>
  </cols>
  <sheetData>
    <row r="1" spans="1:9">
      <c r="A1" s="1" t="s">
        <v>746</v>
      </c>
    </row>
    <row r="10" spans="1:9">
      <c r="A10" s="1" t="s">
        <v>168</v>
      </c>
      <c r="B10" s="1" t="s">
        <v>747</v>
      </c>
      <c r="C10" s="1" t="s">
        <v>748</v>
      </c>
      <c r="D10" s="1" t="s">
        <v>749</v>
      </c>
      <c r="E10" s="1" t="s">
        <v>750</v>
      </c>
      <c r="F10" s="1" t="s">
        <v>751</v>
      </c>
      <c r="G10" s="1" t="s">
        <v>752</v>
      </c>
      <c r="H10" s="1" t="s">
        <v>753</v>
      </c>
      <c r="I10" s="1" t="s">
        <v>106</v>
      </c>
    </row>
    <row r="11" spans="1:9">
      <c r="B11" s="3" t="str">
        <f>IF((A11)="", "", _xlfn.XLOOKUP(A11,Jars!A:A,Jars!K:K))</f>
        <v/>
      </c>
      <c r="C11" s="3" t="str">
        <f>IF((A11)="", "", _xlfn.XLOOKUP(A11,Jars!A:A,Jars!L:L))</f>
        <v/>
      </c>
      <c r="D11" s="1" t="s">
        <v>754</v>
      </c>
      <c r="E11" s="1" t="s">
        <v>755</v>
      </c>
      <c r="F11" s="1">
        <v>26</v>
      </c>
      <c r="G11" s="1">
        <v>75</v>
      </c>
      <c r="H11" s="1" t="s">
        <v>756</v>
      </c>
      <c r="I11" s="1" t="s">
        <v>757</v>
      </c>
    </row>
    <row r="12" spans="1:9">
      <c r="B12" s="3" t="str">
        <f>IF((A12)="", "", _xlfn.XLOOKUP(A12,Jars!A:A,Jars!K:K))</f>
        <v/>
      </c>
      <c r="C12" s="3" t="str">
        <f>IF((A12)="", "", _xlfn.XLOOKUP(A12,Jars!A:A,Jars!L:L))</f>
        <v/>
      </c>
      <c r="D12" s="1" t="s">
        <v>758</v>
      </c>
      <c r="E12" s="1" t="s">
        <v>759</v>
      </c>
      <c r="F12" s="1" t="s">
        <v>760</v>
      </c>
      <c r="G12" s="1" t="s">
        <v>761</v>
      </c>
      <c r="H12" s="1" t="s">
        <v>756</v>
      </c>
      <c r="I12" s="3" t="s">
        <v>757</v>
      </c>
    </row>
    <row r="13" spans="1:9">
      <c r="B13" s="3" t="str">
        <f>IF((A13)="", "", _xlfn.XLOOKUP(A13,Jars!A:A,Jars!K:K))</f>
        <v/>
      </c>
      <c r="C13" s="3" t="str">
        <f>IF((A13)="", "", _xlfn.XLOOKUP(A13,Jars!A:A,Jars!L:L))</f>
        <v/>
      </c>
      <c r="D13" s="1" t="s">
        <v>762</v>
      </c>
      <c r="E13" s="1" t="s">
        <v>763</v>
      </c>
      <c r="F13" s="1" t="s">
        <v>14</v>
      </c>
      <c r="G13" s="1" t="s">
        <v>764</v>
      </c>
      <c r="H13" s="3" t="s">
        <v>756</v>
      </c>
      <c r="I13" s="3" t="s">
        <v>757</v>
      </c>
    </row>
    <row r="14" spans="1:9">
      <c r="B14" s="17" t="str">
        <f>IF((A14)="", "", _xlfn.XLOOKUP(A14,Jars!A:A,Jars!K:K))</f>
        <v/>
      </c>
      <c r="C14" s="17" t="str">
        <f>IF((A14)="", "", _xlfn.XLOOKUP(A14,Jars!A:A,Jars!L:L))</f>
        <v/>
      </c>
    </row>
    <row r="15" spans="1:9">
      <c r="B15" s="17" t="str">
        <f>IF((A15)="", "", _xlfn.XLOOKUP(A15,Jars!A:A,Jars!K:K))</f>
        <v/>
      </c>
      <c r="C15" s="17" t="str">
        <f>IF((A15)="", "", _xlfn.XLOOKUP(A15,Jars!A:A,Jars!L:L))</f>
        <v/>
      </c>
    </row>
    <row r="16" spans="1:9">
      <c r="B16" s="17" t="str">
        <f>IF((A16)="", "", _xlfn.XLOOKUP(A16,Jars!A:A,Jars!K:K))</f>
        <v/>
      </c>
      <c r="C16" s="17" t="str">
        <f>IF((A16)="", "", _xlfn.XLOOKUP(A16,Jars!A:A,Jars!L:L))</f>
        <v/>
      </c>
    </row>
    <row r="17" spans="2:3">
      <c r="B17" s="17"/>
      <c r="C17" s="17" t="str">
        <f>IF((A17)="", "", _xlfn.XLOOKUP(A17,Jars!A:A,Jars!L:L))</f>
        <v/>
      </c>
    </row>
    <row r="18" spans="2:3">
      <c r="B18" s="17" t="str">
        <f>IF((A18)="", "", _xlfn.XLOOKUP(A18,Jars!A:A,Jars!K:K))</f>
        <v/>
      </c>
      <c r="C18" s="17" t="str">
        <f>IF((A18)="", "", _xlfn.XLOOKUP(A18,Jars!A:A,Jars!L:L))</f>
        <v/>
      </c>
    </row>
    <row r="19" spans="2:3">
      <c r="B19" s="17" t="str">
        <f>IF((A19)="", "", _xlfn.XLOOKUP(A19,Jars!A:A,Jars!K:K))</f>
        <v/>
      </c>
      <c r="C19" s="17" t="str">
        <f>IF((A19)="", "", _xlfn.XLOOKUP(A19,Jars!A:A,Jars!L:L))</f>
        <v/>
      </c>
    </row>
    <row r="20" spans="2:3">
      <c r="B20" s="17" t="str">
        <f>IF((A20)="", "", _xlfn.XLOOKUP(A20,Jars!A:A,Jars!K:K))</f>
        <v/>
      </c>
      <c r="C20" s="17" t="str">
        <f>IF((A20)="", "", _xlfn.XLOOKUP(A20,Jars!A:A,Jars!L:L))</f>
        <v/>
      </c>
    </row>
    <row r="21" spans="2:3">
      <c r="B21" s="17" t="str">
        <f>IF((A21)="", "", _xlfn.XLOOKUP(A21,Jars!A:A,Jars!K:K))</f>
        <v/>
      </c>
      <c r="C21" s="17" t="str">
        <f>IF((A21)="", "", _xlfn.XLOOKUP(A21,Jars!A:A,Jars!L:L))</f>
        <v/>
      </c>
    </row>
    <row r="22" spans="2:3">
      <c r="B22" s="17" t="str">
        <f>IF((A22)="", "", _xlfn.XLOOKUP(A22,Jars!A:A,Jars!K:K))</f>
        <v/>
      </c>
      <c r="C22" s="17" t="str">
        <f>IF((A22)="", "", _xlfn.XLOOKUP(A22,Jars!A:A,Jars!L:L))</f>
        <v/>
      </c>
    </row>
    <row r="23" spans="2:3">
      <c r="B23" s="17" t="str">
        <f>IF((A23)="", "", _xlfn.XLOOKUP(A23,Jars!A:A,Jars!K:K))</f>
        <v/>
      </c>
      <c r="C23" s="17" t="str">
        <f>IF((A23)="", "", _xlfn.XLOOKUP(A23,Jars!A:A,Jars!L:L))</f>
        <v/>
      </c>
    </row>
    <row r="24" spans="2:3">
      <c r="B24" s="17" t="str">
        <f>IF((A24)="", "", _xlfn.XLOOKUP(A24,Jars!A:A,Jars!K:K))</f>
        <v/>
      </c>
      <c r="C24" s="17" t="str">
        <f>IF((A24)="", "", _xlfn.XLOOKUP(A24,Jars!A:A,Jars!L:L))</f>
        <v/>
      </c>
    </row>
  </sheetData>
  <conditionalFormatting sqref="A11:AF999999">
    <cfRule type="expression" dxfId="78" priority="1">
      <formula>AND(A11="", $A11&lt;&gt;"", A$10&lt;&gt;"")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CD279-514A-4980-9833-9C95C048F651}">
  <dimension ref="A1:Y33"/>
  <sheetViews>
    <sheetView topLeftCell="A23" workbookViewId="0">
      <selection activeCell="N33" sqref="N33"/>
    </sheetView>
  </sheetViews>
  <sheetFormatPr defaultRowHeight="15"/>
  <cols>
    <col min="1" max="1" width="29.5703125" style="55" customWidth="1"/>
    <col min="2" max="2" width="16.28515625" style="55" customWidth="1"/>
    <col min="3" max="4" width="15.5703125" style="55" customWidth="1"/>
    <col min="5" max="5" width="15.85546875" style="55" customWidth="1"/>
    <col min="6" max="6" width="13.140625" style="55" customWidth="1"/>
    <col min="7" max="7" width="12.42578125" style="55" customWidth="1"/>
    <col min="8" max="8" width="9.140625" style="55"/>
    <col min="9" max="16" width="9.28515625" style="55" bestFit="1" customWidth="1"/>
    <col min="17" max="24" width="9.140625" style="55"/>
    <col min="25" max="25" width="11.42578125" style="55" bestFit="1" customWidth="1"/>
    <col min="26" max="26" width="9.140625" style="55"/>
    <col min="27" max="27" width="11.42578125" style="55" bestFit="1" customWidth="1"/>
    <col min="28" max="16384" width="9.140625" style="55"/>
  </cols>
  <sheetData>
    <row r="1" spans="1:8">
      <c r="A1" s="55" t="s">
        <v>258</v>
      </c>
    </row>
    <row r="2" spans="1:8">
      <c r="A2" s="55" t="s">
        <v>259</v>
      </c>
    </row>
    <row r="4" spans="1:8">
      <c r="A4" s="55" t="s">
        <v>260</v>
      </c>
    </row>
    <row r="5" spans="1:8">
      <c r="A5" s="55" t="s">
        <v>261</v>
      </c>
    </row>
    <row r="6" spans="1:8">
      <c r="A6" s="55" t="s">
        <v>262</v>
      </c>
    </row>
    <row r="10" spans="1:8">
      <c r="A10" s="55" t="s">
        <v>168</v>
      </c>
      <c r="B10" s="55" t="s">
        <v>263</v>
      </c>
      <c r="C10" s="55" t="s">
        <v>169</v>
      </c>
      <c r="D10" s="55" t="s">
        <v>264</v>
      </c>
      <c r="E10" s="55" t="s">
        <v>23</v>
      </c>
      <c r="F10" s="55" t="s">
        <v>30</v>
      </c>
      <c r="G10" s="55" t="s">
        <v>8</v>
      </c>
      <c r="H10" s="55" t="s">
        <v>15</v>
      </c>
    </row>
    <row r="11" spans="1:8">
      <c r="A11" s="55" t="s">
        <v>507</v>
      </c>
      <c r="B11" s="55" t="str">
        <f>IF(Recipes_Crop55[[#This Row],[Jar]]="","",IFERROR(_xlfn.XLOOKUP(IFERROR(_xlfn.XLOOKUP(Recipes_Crop55[[#This Row],[Jar]]&amp;"",Growing[Growing Jar],Growing[Seed],,0,-1),_xlfn.XLOOKUP(Recipes_Crop55[[#This Row],[Jar]]&amp;"",Growing[Seeding Jar],Growing[Seed],,0,-1)),Seeds[Seed],Seeds[Scientific Name]),""))</f>
        <v>Ocimum basilicum</v>
      </c>
      <c r="C11" s="55" cm="1">
        <f t="array" ref="C11">IF(Recipes_Crop55[[#This Row],[Jar]]="","",SUMPRODUCT(--(JarsPlusPlus_1[Jar]&amp;""=Recipes_Crop55[[#This Row],[Jar]]&amp;""),JarsPlusPlus_1[V:Water Added (mL)]))</f>
        <v>1550</v>
      </c>
      <c r="D11" s="55">
        <f>Recipes_Crop55[Volume (mL)] / 1000</f>
        <v>1.55</v>
      </c>
      <c r="E11" s="55">
        <f>IF(Recipes_Crop55[[#This Row],[Crop]]="","",_xlfn.LET(_xlpm.x,_xlfn.XLOOKUP(Recipes_Crop55[[#This Row],[Crop]],Nutrients[For],Nutrients[pH (min)],""),IF(ISNUMBER(_xlpm.x),_xlpm.x,"")))</f>
        <v>5.8</v>
      </c>
      <c r="F11" s="55">
        <f>IF(Recipes_Crop55[[#This Row],[Crop]]="","",_xlfn.LET(_xlpm.x,_xlfn.XLOOKUP(Recipes_Crop55[[#This Row],[Crop]],Nutrients[For],Nutrients[pH (max)],""),IF(ISNUMBER(_xlpm.x),_xlpm.x,"")))</f>
        <v>6.2</v>
      </c>
      <c r="G11" s="55">
        <f>IF(Recipes_Crop55[[#This Row],[Crop]]="","",_xlfn.LET(_xlpm.x,_xlfn.XLOOKUP(Recipes_Crop55[[#This Row],[Crop]],Nutrients[For],Nutrients[EC (min)],""),IF(ISNUMBER(_xlpm.x),_xlpm.x,"")))</f>
        <v>0.5</v>
      </c>
      <c r="H11" s="55">
        <f>IF(Recipes_Crop55[[#This Row],[Crop]]="","",_xlfn.LET(_xlpm.x,_xlfn.XLOOKUP(Recipes_Crop55[[#This Row],[Crop]],Nutrients[For],Nutrients[EC (max)],""),IF(ISNUMBER(_xlpm.x),_xlpm.x,"")))</f>
        <v>1.5</v>
      </c>
    </row>
    <row r="13" spans="1:8">
      <c r="A13" s="56"/>
      <c r="B13" s="56"/>
    </row>
    <row r="14" spans="1:8">
      <c r="A14" s="56"/>
      <c r="B14" s="56"/>
    </row>
    <row r="15" spans="1:8">
      <c r="A15" s="55" t="s">
        <v>200</v>
      </c>
      <c r="B15" s="55" t="s">
        <v>267</v>
      </c>
      <c r="C15" s="55" t="s">
        <v>268</v>
      </c>
    </row>
    <row r="16" spans="1:8">
      <c r="A16" s="55" t="str" cm="1">
        <f t="array" aca="1" ref="A16" ca="1">IF(Recipes_Crop55[Jar]="","",_xlfn.XLOOKUP(1,((JarsPlusPlus_2[Jar]&amp;"")=(Recipes_Crop55[Jar]&amp;""))*(JarsPlusPlus_2[Fertilizer]&lt;&gt;"")*(JarsPlusPlus_2[Fertilizer]&lt;&gt;"None")*ISNA(MATCH(JarsPlusPlus_2[Fertilizer],A$15:A15,0)),JarsPlusPlus_2[Fertilizer],""))</f>
        <v>12-4-16</v>
      </c>
      <c r="B16" s="57" cm="1">
        <f t="array" aca="1" ref="B16" ca="1">IF(Recipe_Input54[[#This Row],[Fertilizer]]="","",SUMPRODUCT(--((JarsPlusPlus_2[Jar]&amp;"")=(Recipes_Crop55[Jar]&amp;"")),--(JarsPlusPlus_2[Fertilizer]=Recipe_Input54[[#This Row],[Fertilizer]]),JarsPlusPlus_2[C:Total Fertilizer Added (g)]))</f>
        <v>1.61</v>
      </c>
      <c r="C16" s="55">
        <f ca="1">IF(Recipe_Input54[[#This Row],[Amount (g)]]="","",IFERROR(IF(Recipe_Input54[[#This Row],[Amount (g)]]=0,0,_xlfn.LET(_xlpm.x,Recipe_Input54[[#This Row],[Amount (g)]]/Recipes_Crop55[Volume (L)],ROUND(_xlpm.x,3-INT(LOG10(ABS(_xlpm.x)))))),""))</f>
        <v>1.0389999999999999</v>
      </c>
    </row>
    <row r="17" spans="1:25">
      <c r="A17" s="55" t="str" cm="1">
        <f t="array" aca="1" ref="A17" ca="1">IF(Recipes_Crop55[Jar]="","",_xlfn.XLOOKUP(1,((JarsPlusPlus_2[Jar]&amp;"")=(Recipes_Crop55[Jar]&amp;""))*(JarsPlusPlus_2[Fertilizer]&lt;&gt;"")*(JarsPlusPlus_2[Fertilizer]&lt;&gt;"None")*ISNA(MATCH(JarsPlusPlus_2[Fertilizer],A$15:A16,0)),JarsPlusPlus_2[Fertilizer],""))</f>
        <v>Epsom Salt</v>
      </c>
      <c r="B17" s="55" cm="1">
        <f t="array" aca="1" ref="B17" ca="1">IF(Recipe_Input54[[#This Row],[Fertilizer]]="","",SUMPRODUCT(--((JarsPlusPlus_2[Jar]&amp;"")=(Recipes_Crop55[Jar]&amp;"")),--(JarsPlusPlus_2[Fertilizer]=Recipe_Input54[[#This Row],[Fertilizer]]),JarsPlusPlus_2[C:Total Fertilizer Added (g)]))</f>
        <v>0.47</v>
      </c>
      <c r="C17" s="55">
        <f ca="1">IF(Recipe_Input54[[#This Row],[Amount (g)]]="","",IFERROR(IF(Recipe_Input54[[#This Row],[Amount (g)]]=0,0,_xlfn.LET(_xlpm.x,Recipe_Input54[[#This Row],[Amount (g)]]/Recipes_Crop55[Volume (L)],ROUND(_xlpm.x,3-INT(LOG10(ABS(_xlpm.x)))))),""))</f>
        <v>0.30320000000000003</v>
      </c>
    </row>
    <row r="18" spans="1:25">
      <c r="A18" s="55" t="str" cm="1">
        <f t="array" aca="1" ref="A18" ca="1">IF(Recipes_Crop55[Jar]="","",_xlfn.XLOOKUP(1,((JarsPlusPlus_2[Jar]&amp;"")=(Recipes_Crop55[Jar]&amp;""))*(JarsPlusPlus_2[Fertilizer]&lt;&gt;"")*(JarsPlusPlus_2[Fertilizer]&lt;&gt;"None")*ISNA(MATCH(JarsPlusPlus_2[Fertilizer],A$15:A17,0)),JarsPlusPlus_2[Fertilizer],""))</f>
        <v/>
      </c>
      <c r="B18" s="55" t="str" cm="1">
        <f t="array" aca="1" ref="B18" ca="1">IF(Recipe_Input54[[#This Row],[Fertilizer]]="","",SUMPRODUCT(--((JarsPlusPlus_2[Jar]&amp;"")=(Recipes_Crop55[Jar]&amp;"")),--(JarsPlusPlus_2[Fertilizer]=Recipe_Input54[[#This Row],[Fertilizer]]),JarsPlusPlus_2[C:Total Fertilizer Added (g)]))</f>
        <v/>
      </c>
      <c r="C18" s="55" t="str">
        <f ca="1">IF(Recipe_Input54[[#This Row],[Amount (g)]]="","",IFERROR(IF(Recipe_Input54[[#This Row],[Amount (g)]]=0,0,_xlfn.LET(_xlpm.x,Recipe_Input54[[#This Row],[Amount (g)]]/Recipes_Crop55[Volume (L)],ROUND(_xlpm.x,3-INT(LOG10(ABS(_xlpm.x)))))),""))</f>
        <v/>
      </c>
    </row>
    <row r="19" spans="1:25">
      <c r="A19" s="55" t="str" cm="1">
        <f t="array" aca="1" ref="A19" ca="1">IF(Recipes_Crop55[Jar]="","",_xlfn.XLOOKUP(1,((JarsPlusPlus_2[Jar]&amp;"")=(Recipes_Crop55[Jar]&amp;""))*(JarsPlusPlus_2[Fertilizer]&lt;&gt;"")*(JarsPlusPlus_2[Fertilizer]&lt;&gt;"None")*ISNA(MATCH(JarsPlusPlus_2[Fertilizer],A$15:A18,0)),JarsPlusPlus_2[Fertilizer],""))</f>
        <v/>
      </c>
      <c r="B19" s="55" t="str" cm="1">
        <f t="array" aca="1" ref="B19" ca="1">IF(Recipe_Input54[[#This Row],[Fertilizer]]="","",SUMPRODUCT(--((JarsPlusPlus_2[Jar]&amp;"")=(Recipes_Crop55[Jar]&amp;"")),--(JarsPlusPlus_2[Fertilizer]=Recipe_Input54[[#This Row],[Fertilizer]]),JarsPlusPlus_2[C:Total Fertilizer Added (g)]))</f>
        <v/>
      </c>
      <c r="C19" s="55" t="str">
        <f ca="1">IF(Recipe_Input54[[#This Row],[Amount (g)]]="","",IFERROR(IF(Recipe_Input54[[#This Row],[Amount (g)]]=0,0,_xlfn.LET(_xlpm.x,Recipe_Input54[[#This Row],[Amount (g)]]/Recipes_Crop55[Volume (L)],ROUND(_xlpm.x,3-INT(LOG10(ABS(_xlpm.x)))))),""))</f>
        <v/>
      </c>
    </row>
    <row r="20" spans="1:25">
      <c r="A20" s="55" t="str" cm="1">
        <f t="array" aca="1" ref="A20" ca="1">IF(Recipes_Crop55[Jar]="","",_xlfn.XLOOKUP(1,((JarsPlusPlus_2[Jar]&amp;"")=(Recipes_Crop55[Jar]&amp;""))*(JarsPlusPlus_2[Fertilizer]&lt;&gt;"")*(JarsPlusPlus_2[Fertilizer]&lt;&gt;"None")*ISNA(MATCH(JarsPlusPlus_2[Fertilizer],A$15:A19,0)),JarsPlusPlus_2[Fertilizer],""))</f>
        <v/>
      </c>
      <c r="B20" s="55" t="str" cm="1">
        <f t="array" aca="1" ref="B20" ca="1">IF(Recipe_Input54[[#This Row],[Fertilizer]]="","",SUMPRODUCT(--((JarsPlusPlus_2[Jar]&amp;"")=(Recipes_Crop55[Jar]&amp;"")),--(JarsPlusPlus_2[Fertilizer]=Recipe_Input54[[#This Row],[Fertilizer]]),JarsPlusPlus_2[C:Total Fertilizer Added (g)]))</f>
        <v/>
      </c>
      <c r="C20" s="55" t="str">
        <f ca="1">IF(Recipe_Input54[[#This Row],[Amount (g)]]="","",IFERROR(IF(Recipe_Input54[[#This Row],[Amount (g)]]=0,0,_xlfn.LET(_xlpm.x,Recipe_Input54[[#This Row],[Amount (g)]]/Recipes_Crop55[Volume (L)],ROUND(_xlpm.x,3-INT(LOG10(ABS(_xlpm.x)))))),""))</f>
        <v/>
      </c>
    </row>
    <row r="22" spans="1:25">
      <c r="A22" s="56"/>
      <c r="B22" s="56"/>
    </row>
    <row r="23" spans="1:25">
      <c r="A23" s="56"/>
      <c r="B23" s="56" t="s">
        <v>125</v>
      </c>
      <c r="F23" s="55" t="s">
        <v>128</v>
      </c>
      <c r="G23" s="55" t="s">
        <v>121</v>
      </c>
      <c r="H23" s="55" t="s">
        <v>115</v>
      </c>
      <c r="I23" s="55" t="s">
        <v>122</v>
      </c>
      <c r="J23" s="55" t="s">
        <v>129</v>
      </c>
      <c r="K23" s="55" t="s">
        <v>114</v>
      </c>
      <c r="L23" s="55" t="s">
        <v>118</v>
      </c>
      <c r="M23" s="55" t="s">
        <v>119</v>
      </c>
      <c r="N23" s="55" t="s">
        <v>123</v>
      </c>
      <c r="O23" s="55" t="s">
        <v>124</v>
      </c>
      <c r="P23" s="55" t="s">
        <v>132</v>
      </c>
      <c r="Q23" s="55" t="s">
        <v>127</v>
      </c>
      <c r="R23" s="55" t="s">
        <v>116</v>
      </c>
      <c r="S23" s="55" t="s">
        <v>126</v>
      </c>
      <c r="T23" s="55" t="s">
        <v>241</v>
      </c>
      <c r="U23" s="55" t="s">
        <v>269</v>
      </c>
      <c r="V23" s="55" t="s">
        <v>120</v>
      </c>
      <c r="W23" s="55" t="s">
        <v>130</v>
      </c>
      <c r="X23" s="55" t="s">
        <v>110</v>
      </c>
    </row>
    <row r="24" spans="1:25">
      <c r="A24" s="55" t="s">
        <v>270</v>
      </c>
      <c r="B24" s="55" t="s">
        <v>271</v>
      </c>
      <c r="C24" s="55" t="s">
        <v>197</v>
      </c>
      <c r="D24" s="55" t="s">
        <v>272</v>
      </c>
      <c r="E24" s="55" t="s">
        <v>273</v>
      </c>
      <c r="F24" s="55" t="s">
        <v>18</v>
      </c>
      <c r="G24" s="55" t="s">
        <v>26</v>
      </c>
      <c r="H24" s="55" t="s">
        <v>33</v>
      </c>
      <c r="I24" s="55" t="s">
        <v>39</v>
      </c>
      <c r="J24" s="55" t="s">
        <v>45</v>
      </c>
      <c r="K24" s="55" t="s">
        <v>49</v>
      </c>
      <c r="L24" s="55" t="s">
        <v>53</v>
      </c>
      <c r="M24" s="55" t="s">
        <v>57</v>
      </c>
      <c r="N24" s="55" t="s">
        <v>60</v>
      </c>
      <c r="O24" s="55" t="s">
        <v>63</v>
      </c>
      <c r="P24" s="55" t="s">
        <v>66</v>
      </c>
      <c r="Q24" s="55" t="s">
        <v>69</v>
      </c>
      <c r="R24" s="55" t="s">
        <v>72</v>
      </c>
      <c r="S24" s="55" t="s">
        <v>75</v>
      </c>
      <c r="T24" s="55" t="s">
        <v>78</v>
      </c>
      <c r="U24" s="55" t="s">
        <v>81</v>
      </c>
      <c r="V24" s="55" t="s">
        <v>84</v>
      </c>
      <c r="W24" s="55" t="s">
        <v>87</v>
      </c>
      <c r="X24" s="55" t="s">
        <v>90</v>
      </c>
      <c r="Y24" s="55" t="s">
        <v>274</v>
      </c>
    </row>
    <row r="25" spans="1:25">
      <c r="A25" s="55" t="str">
        <f ca="1">IF(INDEX(Recipe_Input54[Fertilizer], ROW()-ROW(Recipe_Calc52[#Headers]))="", "", INDEX(Recipe_Input54[Fertilizer], ROW()-ROW(Recipe_Calc52[#Headers])))</f>
        <v>12-4-16</v>
      </c>
      <c r="B25" s="55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124.64516129032258</v>
      </c>
      <c r="C25" s="55">
        <f ca="1">IFERROR(_xlfn.XLOOKUP(Recipe_Calc52[[#This Row],[Nutrient Concentration (ppm)]],Recipe_Input54[Fertilizer],Recipe_Input54[Amount (g)])*_xlfn.XLOOKUP(Recipe_Calc52[[#This Row],[Nutrient Concentration (ppm)]],Fertilizers[Fertilizer],Fertilizers[CO(NH₂)₂ (%/N)])*10/Recipes_Crop55[Volume (L)],0)</f>
        <v>0</v>
      </c>
      <c r="D25" s="55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2.0774193548387099</v>
      </c>
      <c r="E25" s="55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122.56774193548388</v>
      </c>
      <c r="F25" s="55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18.130950378851583</v>
      </c>
      <c r="G25" s="57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137.96534483939459</v>
      </c>
      <c r="H25" s="55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72.709677419354847</v>
      </c>
      <c r="I25" s="55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20.7741935483871</v>
      </c>
      <c r="J25" s="55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0</v>
      </c>
      <c r="K25" s="55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0.20774193548387096</v>
      </c>
      <c r="L25" s="55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0.20774193548387096</v>
      </c>
      <c r="M25" s="55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1.5580645161290323</v>
      </c>
      <c r="N25" s="55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0.51935483870967747</v>
      </c>
      <c r="O25" s="55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1.0387096774193548E-2</v>
      </c>
      <c r="P25" s="55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0.36354838709677423</v>
      </c>
      <c r="Q25" s="55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5" s="55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5" s="55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5" s="55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5" s="55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5" s="55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5" s="55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5" s="55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26" spans="1:25">
      <c r="A26" s="55" t="str">
        <f ca="1">IF(INDEX(Recipe_Input54[Fertilizer], ROW()-ROW(Recipe_Calc52[#Headers]))="", "", INDEX(Recipe_Input54[Fertilizer], ROW()-ROW(Recipe_Calc52[#Headers])))</f>
        <v>Epsom Salt</v>
      </c>
      <c r="B26" s="55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0</v>
      </c>
      <c r="C26" s="55">
        <f ca="1">IFERROR(_xlfn.XLOOKUP(Recipe_Calc52[[#This Row],[Nutrient Concentration (ppm)]],Recipe_Input54[Fertilizer],Recipe_Input54[Amount (g)])*_xlfn.XLOOKUP(Recipe_Calc52[[#This Row],[Nutrient Concentration (ppm)]],Fertilizers[Fertilizer],Fertilizers[CO(NH₂)₂ (%/N)])*10/Recipes_Crop55[Volume (L)],0)</f>
        <v>0</v>
      </c>
      <c r="D26" s="55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0</v>
      </c>
      <c r="E26" s="55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0</v>
      </c>
      <c r="F26" s="55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0</v>
      </c>
      <c r="G26" s="55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0</v>
      </c>
      <c r="H26" s="55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0</v>
      </c>
      <c r="I26" s="55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29.898064516129029</v>
      </c>
      <c r="J26" s="55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39.449677419354835</v>
      </c>
      <c r="K26" s="55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</v>
      </c>
      <c r="L26" s="55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</v>
      </c>
      <c r="M26" s="55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0</v>
      </c>
      <c r="N26" s="55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</v>
      </c>
      <c r="O26" s="55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0</v>
      </c>
      <c r="P26" s="55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</v>
      </c>
      <c r="Q26" s="55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6" s="55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6" s="55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6" s="55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6" s="55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6" s="55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6" s="55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6" s="55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27" spans="1:25">
      <c r="A27" s="55" t="str">
        <f ca="1">IF(INDEX(Recipe_Input54[Fertilizer], ROW()-ROW(Recipe_Calc52[#Headers]))="", "", INDEX(Recipe_Input54[Fertilizer], ROW()-ROW(Recipe_Calc52[#Headers])))</f>
        <v/>
      </c>
      <c r="B27" s="55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0</v>
      </c>
      <c r="C27" s="55">
        <f ca="1">IFERROR(_xlfn.XLOOKUP(Recipe_Calc52[[#This Row],[Nutrient Concentration (ppm)]],Recipe_Input54[Fertilizer],Recipe_Input54[Amount (g)])*_xlfn.XLOOKUP(Recipe_Calc52[[#This Row],[Nutrient Concentration (ppm)]],Fertilizers[Fertilizer],Fertilizers[CO(NH₂)₂ (%/N)])*10/Recipes_Crop55[Volume (L)],0)</f>
        <v>0</v>
      </c>
      <c r="D27" s="55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0</v>
      </c>
      <c r="E27" s="55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0</v>
      </c>
      <c r="F27" s="55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0</v>
      </c>
      <c r="G27" s="55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0</v>
      </c>
      <c r="H27" s="55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0</v>
      </c>
      <c r="I27" s="55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0</v>
      </c>
      <c r="J27" s="55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0</v>
      </c>
      <c r="K27" s="55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</v>
      </c>
      <c r="L27" s="55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</v>
      </c>
      <c r="M27" s="55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0</v>
      </c>
      <c r="N27" s="55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</v>
      </c>
      <c r="O27" s="55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0</v>
      </c>
      <c r="P27" s="55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</v>
      </c>
      <c r="Q27" s="55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7" s="55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7" s="55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7" s="55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7" s="55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7" s="55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7" s="55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7" s="55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28" spans="1:25">
      <c r="A28" s="55" t="str">
        <f ca="1">IF(INDEX(Recipe_Input54[Fertilizer], ROW()-ROW(Recipe_Calc52[#Headers]))="", "", INDEX(Recipe_Input54[Fertilizer], ROW()-ROW(Recipe_Calc52[#Headers])))</f>
        <v/>
      </c>
      <c r="B28" s="55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0</v>
      </c>
      <c r="C28" s="55">
        <f ca="1">IFERROR(_xlfn.XLOOKUP(Recipe_Calc52[[#This Row],[Nutrient Concentration (ppm)]],Recipe_Input54[Fertilizer],Recipe_Input54[Amount (g)])*_xlfn.XLOOKUP(Recipe_Calc52[[#This Row],[Nutrient Concentration (ppm)]],Fertilizers[Fertilizer],Fertilizers[CO(NH₂)₂ (%/N)])*10/Recipes_Crop55[Volume (L)],0)</f>
        <v>0</v>
      </c>
      <c r="D28" s="55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0</v>
      </c>
      <c r="E28" s="55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0</v>
      </c>
      <c r="F28" s="55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0</v>
      </c>
      <c r="G28" s="55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0</v>
      </c>
      <c r="H28" s="55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0</v>
      </c>
      <c r="I28" s="55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0</v>
      </c>
      <c r="J28" s="55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0</v>
      </c>
      <c r="K28" s="55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</v>
      </c>
      <c r="L28" s="55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</v>
      </c>
      <c r="M28" s="55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0</v>
      </c>
      <c r="N28" s="55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</v>
      </c>
      <c r="O28" s="55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0</v>
      </c>
      <c r="P28" s="55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</v>
      </c>
      <c r="Q28" s="55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8" s="55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8" s="55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8" s="55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8" s="55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8" s="55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8" s="55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8" s="55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29" spans="1:25">
      <c r="A29" s="55" t="str">
        <f ca="1">IF(INDEX(Recipe_Input54[Fertilizer], ROW()-ROW(Recipe_Calc52[#Headers]))="", "", INDEX(Recipe_Input54[Fertilizer], ROW()-ROW(Recipe_Calc52[#Headers])))</f>
        <v/>
      </c>
      <c r="B29" s="55">
        <f ca="1">IFERROR(_xlfn.XLOOKUP(Recipe_Calc52[[#This Row],[Nutrient Concentration (ppm)]],Recipe_Input54[Fertilizer],Recipe_Input54[Amount (g)])*_xlfn.XLOOKUP(Recipe_Calc52[[#This Row],[Nutrient Concentration (ppm)]],Fertilizers[Fertilizer],Fertilizers[Total N (%)])*10/Recipes_Crop55[Volume (L)],0)</f>
        <v>0</v>
      </c>
      <c r="C29" s="55">
        <f ca="1">IFERROR(_xlfn.XLOOKUP(Recipe_Calc52[[#This Row],[Nutrient Concentration (ppm)]],Recipe_Input54[Fertilizer],Recipe_Input54[Amount (g)])*_xlfn.XLOOKUP(Recipe_Calc52[[#This Row],[Nutrient Concentration (ppm)]],Fertilizers[Fertilizer],Fertilizers[CO(NH₂)₂ (%/N)])*10/Recipes_Crop55[Volume (L)],0)</f>
        <v>0</v>
      </c>
      <c r="D29" s="55">
        <f ca="1">IFERROR(_xlfn.XLOOKUP(Recipe_Calc52[[#This Row],[Nutrient Concentration (ppm)]],Recipe_Input54[Fertilizer],Recipe_Input54[Amount (g)])*_xlfn.XLOOKUP(Recipe_Calc52[[#This Row],[Nutrient Concentration (ppm)]],Fertilizers[Fertilizer],Fertilizers[NH₄ (%/N)])*10/Recipes_Crop55[Volume (L)],0)</f>
        <v>0</v>
      </c>
      <c r="E29" s="55">
        <f ca="1">IFERROR(_xlfn.XLOOKUP(Recipe_Calc52[[#This Row],[Nutrient Concentration (ppm)]],Recipe_Input54[Fertilizer],Recipe_Input54[Amount (g)])*_xlfn.XLOOKUP(Recipe_Calc52[[#This Row],[Nutrient Concentration (ppm)]],Fertilizers[Fertilizer],Fertilizers[NO₃ (%/N)])*10/Recipes_Crop55[Volume (L)],0)</f>
        <v>0</v>
      </c>
      <c r="F29" s="55">
        <f ca="1">IFERROR(_xlfn.XLOOKUP(Recipe_Calc52[[#This Row],[Nutrient Concentration (ppm)]],Recipe_Input54[Fertilizer],Recipe_Input54[Amount (g)])*_xlfn.XLOOKUP(Recipe_Calc52[[#This Row],[Nutrient Concentration (ppm)]],Fertilizers[Fertilizer],Fertilizers[P (%)])*10/Recipes_Crop55[Volume (L)],0)</f>
        <v>0</v>
      </c>
      <c r="G29" s="55">
        <f ca="1">IFERROR(_xlfn.XLOOKUP(Recipe_Calc52[[#This Row],[Nutrient Concentration (ppm)]],Recipe_Input54[Fertilizer],Recipe_Input54[Amount (g)])*_xlfn.XLOOKUP(Recipe_Calc52[[#This Row],[Nutrient Concentration (ppm)]],Fertilizers[Fertilizer],Fertilizers[K (%)])*10/Recipes_Crop55[Volume (L)],0)</f>
        <v>0</v>
      </c>
      <c r="H29" s="55">
        <f ca="1">IFERROR(_xlfn.XLOOKUP(Recipe_Calc52[[#This Row],[Nutrient Concentration (ppm)]],Recipe_Input54[Fertilizer],Recipe_Input54[Amount (g)])*_xlfn.XLOOKUP(Recipe_Calc52[[#This Row],[Nutrient Concentration (ppm)]],Fertilizers[Fertilizer],Fertilizers[Ca (%)])*10/Recipes_Crop55[Volume (L)],0)</f>
        <v>0</v>
      </c>
      <c r="I29" s="55">
        <f ca="1">IFERROR(_xlfn.XLOOKUP(Recipe_Calc52[[#This Row],[Nutrient Concentration (ppm)]],Recipe_Input54[Fertilizer],Recipe_Input54[Amount (g)])*_xlfn.XLOOKUP(Recipe_Calc52[[#This Row],[Nutrient Concentration (ppm)]],Fertilizers[Fertilizer],Fertilizers[Mg (%)])*10/Recipes_Crop55[Volume (L)],0)</f>
        <v>0</v>
      </c>
      <c r="J29" s="55">
        <f ca="1">IFERROR(_xlfn.XLOOKUP(Recipe_Calc52[[#This Row],[Nutrient Concentration (ppm)]],Recipe_Input54[Fertilizer],Recipe_Input54[Amount (g)])*_xlfn.XLOOKUP(Recipe_Calc52[[#This Row],[Nutrient Concentration (ppm)]],Fertilizers[Fertilizer],Fertilizers[S (%)])*10/Recipes_Crop55[Volume (L)],0)</f>
        <v>0</v>
      </c>
      <c r="K29" s="55">
        <f ca="1">IFERROR(_xlfn.XLOOKUP(Recipe_Calc52[[#This Row],[Nutrient Concentration (ppm)]],Recipe_Input54[Fertilizer],Recipe_Input54[Amount (g)])*_xlfn.XLOOKUP(Recipe_Calc52[[#This Row],[Nutrient Concentration (ppm)]],Fertilizers[Fertilizer],Fertilizers[B (%)])*10/Recipes_Crop55[Volume (L)],0)</f>
        <v>0</v>
      </c>
      <c r="L29" s="55">
        <f ca="1">IFERROR(_xlfn.XLOOKUP(Recipe_Calc52[[#This Row],[Nutrient Concentration (ppm)]],Recipe_Input54[Fertilizer],Recipe_Input54[Amount (g)])*_xlfn.XLOOKUP(Recipe_Calc52[[#This Row],[Nutrient Concentration (ppm)]],Fertilizers[Fertilizer],Fertilizers[Cu (%)])*10/Recipes_Crop55[Volume (L)],0)</f>
        <v>0</v>
      </c>
      <c r="M29" s="55">
        <f ca="1">IFERROR(_xlfn.XLOOKUP(Recipe_Calc52[[#This Row],[Nutrient Concentration (ppm)]],Recipe_Input54[Fertilizer],Recipe_Input54[Amount (g)])*_xlfn.XLOOKUP(Recipe_Calc52[[#This Row],[Nutrient Concentration (ppm)]],Fertilizers[Fertilizer],Fertilizers[Fe (%)])*10/Recipes_Crop55[Volume (L)],0)</f>
        <v>0</v>
      </c>
      <c r="N29" s="55">
        <f ca="1">IFERROR(_xlfn.XLOOKUP(Recipe_Calc52[[#This Row],[Nutrient Concentration (ppm)]],Recipe_Input54[Fertilizer],Recipe_Input54[Amount (g)])*_xlfn.XLOOKUP(Recipe_Calc52[[#This Row],[Nutrient Concentration (ppm)]],Fertilizers[Fertilizer],Fertilizers[Mn (%)])*10/Recipes_Crop55[Volume (L)],0)</f>
        <v>0</v>
      </c>
      <c r="O29" s="55">
        <f ca="1">IFERROR(_xlfn.XLOOKUP(Recipe_Calc52[[#This Row],[Nutrient Concentration (ppm)]],Recipe_Input54[Fertilizer],Recipe_Input54[Amount (g)])*_xlfn.XLOOKUP(Recipe_Calc52[[#This Row],[Nutrient Concentration (ppm)]],Fertilizers[Fertilizer],Fertilizers[Mo (%)])*10/Recipes_Crop55[Volume (L)],0)</f>
        <v>0</v>
      </c>
      <c r="P29" s="55">
        <f ca="1">IFERROR(_xlfn.XLOOKUP(Recipe_Calc52[[#This Row],[Nutrient Concentration (ppm)]],Recipe_Input54[Fertilizer],Recipe_Input54[Amount (g)])*_xlfn.XLOOKUP(Recipe_Calc52[[#This Row],[Nutrient Concentration (ppm)]],Fertilizers[Fertilizer],Fertilizers[Zn (%)])*10/Recipes_Crop55[Volume (L)],0)</f>
        <v>0</v>
      </c>
      <c r="Q29" s="55">
        <f ca="1">IFERROR(_xlfn.XLOOKUP(Recipe_Calc52[[#This Row],[Nutrient Concentration (ppm)]],Recipe_Input54[Fertilizer],Recipe_Input54[Amount (g)])*_xlfn.XLOOKUP(Recipe_Calc52[[#This Row],[Nutrient Concentration (ppm)]],Fertilizers[Fertilizer],Fertilizers[Ni (%)])*10/Recipes_Crop55[Volume (L)],0)</f>
        <v>0</v>
      </c>
      <c r="R29" s="55">
        <f ca="1">IFERROR(_xlfn.XLOOKUP(Recipe_Calc52[[#This Row],[Nutrient Concentration (ppm)]],Recipe_Input54[Fertilizer],Recipe_Input54[Amount (g)])*_xlfn.XLOOKUP(Recipe_Calc52[[#This Row],[Nutrient Concentration (ppm)]],Fertilizers[Fertilizer],Fertilizers[Cl (%)])*10/Recipes_Crop55[Volume (L)],0)</f>
        <v>0</v>
      </c>
      <c r="S29" s="55">
        <f ca="1">IFERROR(_xlfn.XLOOKUP(Recipe_Calc52[[#This Row],[Nutrient Concentration (ppm)]],Recipe_Input54[Fertilizer],Recipe_Input54[Amount (g)])*_xlfn.XLOOKUP(Recipe_Calc52[[#This Row],[Nutrient Concentration (ppm)]],Fertilizers[Fertilizer],Fertilizers[Na (%)])*10/Recipes_Crop55[Volume (L)],0)</f>
        <v>0</v>
      </c>
      <c r="T29" s="55">
        <f ca="1">IFERROR(_xlfn.XLOOKUP(Recipe_Calc52[[#This Row],[Nutrient Concentration (ppm)]],Recipe_Input54[Fertilizer],Recipe_Input54[Amount (g)])*_xlfn.XLOOKUP(Recipe_Calc52[[#This Row],[Nutrient Concentration (ppm)]],Fertilizers[Fertilizer],Fertilizers[Si (%)])*10/Recipes_Crop55[Volume (L)],0)</f>
        <v>0</v>
      </c>
      <c r="U29" s="55">
        <f ca="1">IFERROR(_xlfn.XLOOKUP(Recipe_Calc52[[#This Row],[Nutrient Concentration (ppm)]],Recipe_Input54[Fertilizer],Recipe_Input54[Amount (g)])*_xlfn.XLOOKUP(Recipe_Calc52[[#This Row],[Nutrient Concentration (ppm)]],Fertilizers[Fertilizer],Fertilizers[Co (%)])*10/Recipes_Crop55[Volume (L)],0)</f>
        <v>0</v>
      </c>
      <c r="V29" s="55">
        <f ca="1">IFERROR(_xlfn.XLOOKUP(Recipe_Calc52[[#This Row],[Nutrient Concentration (ppm)]],Recipe_Input54[Fertilizer],Recipe_Input54[Amount (g)])*_xlfn.XLOOKUP(Recipe_Calc52[[#This Row],[Nutrient Concentration (ppm)]],Fertilizers[Fertilizer],Fertilizers[I (%)])*10/Recipes_Crop55[Volume (L)],0)</f>
        <v>0</v>
      </c>
      <c r="W29" s="55">
        <f ca="1">IFERROR(_xlfn.XLOOKUP(Recipe_Calc52[[#This Row],[Nutrient Concentration (ppm)]],Recipe_Input54[Fertilizer],Recipe_Input54[Amount (g)])*_xlfn.XLOOKUP(Recipe_Calc52[[#This Row],[Nutrient Concentration (ppm)]],Fertilizers[Fertilizer],Fertilizers[Se (%)])*10/Recipes_Crop55[Volume (L)],0)</f>
        <v>0</v>
      </c>
      <c r="X29" s="55">
        <f ca="1">IFERROR(_xlfn.XLOOKUP(Recipe_Calc52[[#This Row],[Nutrient Concentration (ppm)]],Recipe_Input54[Fertilizer],Recipe_Input54[Amount (g)])*_xlfn.XLOOKUP(Recipe_Calc52[[#This Row],[Nutrient Concentration (ppm)]],Fertilizers[Fertilizer],Fertilizers[Al (%)])*10/Recipes_Crop55[Volume (L)],0)</f>
        <v>0</v>
      </c>
    </row>
    <row r="30" spans="1:25">
      <c r="A30" s="55" t="s">
        <v>765</v>
      </c>
      <c r="B30" s="55" cm="1">
        <f t="array" ref="B30">Water_Test[Nitrate-N]</f>
        <v>0</v>
      </c>
      <c r="C30" s="55" cm="1">
        <f t="array" ref="C30">Water_Test[Urea]</f>
        <v>0</v>
      </c>
      <c r="D30" s="55" cm="1">
        <f t="array" ref="D30">Water_Test[Ammonium-N]</f>
        <v>0</v>
      </c>
      <c r="E30" s="55" cm="1">
        <f t="array" ref="E30">Water_Test[Nitrate-N]</f>
        <v>0</v>
      </c>
      <c r="F30" s="55" cm="1">
        <f t="array" ref="F30">Water_Test[P]</f>
        <v>0</v>
      </c>
      <c r="G30" s="55" cm="1">
        <f t="array" ref="G30">Water_Test[K]</f>
        <v>0</v>
      </c>
      <c r="H30" s="55" cm="1">
        <f t="array" ref="H30">Water_Test[Ca]</f>
        <v>0</v>
      </c>
      <c r="I30" s="55" cm="1">
        <f t="array" ref="I30">Water_Test[Mg]</f>
        <v>0</v>
      </c>
      <c r="J30" s="55" cm="1">
        <f t="array" ref="J30">Water_Test[SO₄²⁻] * _xlfn.XLOOKUP("SO₄²⁻ (g/mol) to S (g/mol)", Conversions[Key], Conversions[Multiply By])</f>
        <v>0</v>
      </c>
      <c r="K30" s="55" cm="1">
        <f t="array" ref="K30">Water_Test[B]</f>
        <v>0</v>
      </c>
      <c r="L30" s="55" cm="1">
        <f t="array" ref="L30">Water_Test[Cu]</f>
        <v>0</v>
      </c>
      <c r="M30" s="55" cm="1">
        <f t="array" ref="M30">Water_Test[Fe]</f>
        <v>0</v>
      </c>
      <c r="N30" s="55" cm="1">
        <f t="array" ref="N30">Water_Test[Mn]</f>
        <v>0</v>
      </c>
      <c r="O30" s="55" cm="1">
        <f t="array" ref="O30">Water_Test[Mo]</f>
        <v>0</v>
      </c>
      <c r="P30" s="55" cm="1">
        <f t="array" ref="P30">Water_Test[Zn]</f>
        <v>0</v>
      </c>
      <c r="Q30" s="55" cm="1">
        <f t="array" ref="Q30">Water_Test[Ni]</f>
        <v>0</v>
      </c>
      <c r="R30" s="55" cm="1">
        <f t="array" ref="R30">Water_Test[Cl]</f>
        <v>0</v>
      </c>
      <c r="S30" s="55" cm="1">
        <f t="array" ref="S30">Water_Test[Na]</f>
        <v>0</v>
      </c>
      <c r="T30" s="55" cm="1">
        <f t="array" ref="T30">Water_Test[Si]</f>
        <v>0</v>
      </c>
      <c r="U30" s="55" cm="1">
        <f t="array" ref="U30">Water_Test[Co]</f>
        <v>0</v>
      </c>
      <c r="V30" s="55" cm="1">
        <f t="array" ref="V30">Water_Test[I]</f>
        <v>0</v>
      </c>
      <c r="W30" s="55" cm="1">
        <f t="array" ref="W30">Water_Test[Se]</f>
        <v>0</v>
      </c>
      <c r="X30" s="55" cm="1">
        <f t="array" ref="X30">Water_Test[Al]</f>
        <v>0</v>
      </c>
    </row>
    <row r="31" spans="1:25">
      <c r="A31" s="55" t="s">
        <v>766</v>
      </c>
      <c r="B31" s="55">
        <f ca="1">SUM(INDEX(Recipe_Calc52[Total N],1):INDEX(Recipe_Calc52[Total N],6))</f>
        <v>124.64516129032258</v>
      </c>
      <c r="C31" s="55">
        <f ca="1">SUM(INDEX(Recipe_Calc52[Urea],1):INDEX(Recipe_Calc52[Urea],6))</f>
        <v>0</v>
      </c>
      <c r="D31" s="55">
        <f ca="1">SUM(INDEX(Recipe_Calc52[Ammonium-N],1):INDEX(Recipe_Calc52[Ammonium-N],6))</f>
        <v>2.0774193548387099</v>
      </c>
      <c r="E31" s="55">
        <f ca="1">SUM(INDEX(Recipe_Calc52[Nitrate-N],1):INDEX(Recipe_Calc52[Nitrate-N],6))</f>
        <v>122.56774193548388</v>
      </c>
      <c r="F31" s="55">
        <f ca="1">SUM(INDEX(Recipe_Calc52[P],1):INDEX(Recipe_Calc52[P],6))</f>
        <v>18.130950378851583</v>
      </c>
      <c r="G31" s="55">
        <f ca="1">SUM(INDEX(Recipe_Calc52[K],1):INDEX(Recipe_Calc52[K],6))</f>
        <v>137.96534483939459</v>
      </c>
      <c r="H31" s="55">
        <f ca="1">SUM(INDEX(Recipe_Calc52[Ca],1):INDEX(Recipe_Calc52[Ca],6))</f>
        <v>72.709677419354847</v>
      </c>
      <c r="I31" s="55">
        <f ca="1">SUM(INDEX(Recipe_Calc52[Mg],1):INDEX(Recipe_Calc52[Mg],6))</f>
        <v>50.672258064516129</v>
      </c>
      <c r="J31" s="55">
        <f ca="1">SUM(INDEX(Recipe_Calc52[S],1):INDEX(Recipe_Calc52[S],6))</f>
        <v>39.449677419354835</v>
      </c>
      <c r="K31" s="55">
        <f ca="1">SUM(INDEX(Recipe_Calc52[B],1):INDEX(Recipe_Calc52[B],6))</f>
        <v>0.20774193548387096</v>
      </c>
      <c r="L31" s="55">
        <f ca="1">SUM(INDEX(Recipe_Calc52[Cu],1):INDEX(Recipe_Calc52[Cu],6))</f>
        <v>0.20774193548387096</v>
      </c>
      <c r="M31" s="55">
        <f ca="1">SUM(INDEX(Recipe_Calc52[Fe],1):INDEX(Recipe_Calc52[Fe],6))</f>
        <v>1.5580645161290323</v>
      </c>
      <c r="N31" s="55">
        <f ca="1">SUM(INDEX(Recipe_Calc52[Mn],1):INDEX(Recipe_Calc52[Mn],6))</f>
        <v>0.51935483870967747</v>
      </c>
      <c r="O31" s="55">
        <f ca="1">SUM(INDEX(Recipe_Calc52[Mo],1):INDEX(Recipe_Calc52[Mo],6))</f>
        <v>1.0387096774193548E-2</v>
      </c>
      <c r="P31" s="55">
        <f ca="1">SUM(INDEX(Recipe_Calc52[Zn],1):INDEX(Recipe_Calc52[Zn],6))</f>
        <v>0.36354838709677423</v>
      </c>
      <c r="Q31" s="55">
        <f ca="1">SUM(INDEX(Recipe_Calc52[Ni],1):INDEX(Recipe_Calc52[Ni],6))</f>
        <v>0</v>
      </c>
      <c r="R31" s="55">
        <f ca="1">SUM(INDEX(Recipe_Calc52[Cl],1):INDEX(Recipe_Calc52[Cl],6))</f>
        <v>0</v>
      </c>
      <c r="S31" s="55">
        <f ca="1">SUM(INDEX(Recipe_Calc52[Na],1):INDEX(Recipe_Calc52[Na],6))</f>
        <v>0</v>
      </c>
      <c r="T31" s="55">
        <f ca="1">SUM(INDEX(Recipe_Calc52[Si],1):INDEX(Recipe_Calc52[Si],6))</f>
        <v>0</v>
      </c>
      <c r="U31" s="55">
        <f ca="1">SUM(INDEX(Recipe_Calc52[Co],1):INDEX(Recipe_Calc52[Co],6))</f>
        <v>0</v>
      </c>
      <c r="V31" s="55">
        <f ca="1">SUM(INDEX(Recipe_Calc52[I],1):INDEX(Recipe_Calc52[I],6))</f>
        <v>0</v>
      </c>
      <c r="W31" s="55">
        <f ca="1">SUM(INDEX(Recipe_Calc52[Se],1):INDEX(Recipe_Calc52[Se],6))</f>
        <v>0</v>
      </c>
      <c r="X31" s="55">
        <f ca="1">SUM(INDEX(Recipe_Calc52[Al],1):INDEX(Recipe_Calc52[Al],6))</f>
        <v>0</v>
      </c>
      <c r="Y31" s="55">
        <f ca="1">IF(N(Recipe_Calc52[[#This Row],[Total N]])&gt;0,Recipe_Calc52[[#This Row],[K]]/Recipe_Calc52[[#This Row],[Total N]],"")</f>
        <v>1.1068648266100498</v>
      </c>
    </row>
    <row r="32" spans="1:25">
      <c r="A32" s="55" t="s">
        <v>767</v>
      </c>
      <c r="B32" s="55">
        <f>IF(Recipes_Crop55[Crop]="","",IFERROR(AVERAGEIFS(Nutrients[N],Nutrients[For],Recipes_Crop55[Crop],Nutrients[Active],"1"),""))</f>
        <v>150</v>
      </c>
      <c r="F32" s="55">
        <f>IF(Recipes_Crop55[Crop]="","",IFERROR(AVERAGEIFS(Nutrients[P],Nutrients[For],Recipes_Crop55[Crop],Nutrients[Active],"1"),""))</f>
        <v>31</v>
      </c>
      <c r="G32" s="55">
        <f>IF(Recipes_Crop55[Crop]="","",IFERROR(AVERAGEIFS(Nutrients[K],Nutrients[For],Recipes_Crop55[Crop],Nutrients[Active],"1"),""))</f>
        <v>210</v>
      </c>
      <c r="H32" s="55">
        <f>IF(Recipes_Crop55[Crop]="","",IFERROR(AVERAGEIFS(Nutrients[Ca],Nutrients[For],Recipes_Crop55[Crop],Nutrients[Active],"1"),""))</f>
        <v>90</v>
      </c>
      <c r="I32" s="55">
        <f>IF(Recipes_Crop55[Crop]="","",IFERROR(AVERAGEIFS(Nutrients[Mg],Nutrients[For],Recipes_Crop55[Crop],Nutrients[Active],"1"),""))</f>
        <v>24</v>
      </c>
      <c r="J32" s="55">
        <f>IF(Recipes_Crop55[Crop]="","",IFERROR(AVERAGEIFS(Nutrients[S],Nutrients[For],Recipes_Crop55[Crop],Nutrients[Active],"1"),""))</f>
        <v>32</v>
      </c>
      <c r="K32" s="55">
        <f>IF(Recipes_Crop55[Crop]="","",IFERROR(AVERAGEIFS(Nutrients[B],Nutrients[For],Recipes_Crop55[Crop],Nutrients[Active],"1"),""))</f>
        <v>0.16</v>
      </c>
      <c r="L32" s="55">
        <f>IF(Recipes_Crop55[Crop]="","",IFERROR(AVERAGEIFS(Nutrients[Cu],Nutrients[For],Recipes_Crop55[Crop],Nutrients[Active],"1"),""))</f>
        <v>2.3E-2</v>
      </c>
      <c r="M32" s="55">
        <f>IF(Recipes_Crop55[Crop]="","",IFERROR(AVERAGEIFS(Nutrients[Fe],Nutrients[For],Recipes_Crop55[Crop],Nutrients[Active],"1"),""))</f>
        <v>1</v>
      </c>
      <c r="N32" s="55">
        <f>IF(Recipes_Crop55[Crop]="","",IFERROR(AVERAGEIFS(Nutrients[Mn],Nutrients[For],Recipes_Crop55[Crop],Nutrients[Active],"1"),""))</f>
        <v>0.25</v>
      </c>
      <c r="O32" s="55">
        <f>IF(Recipes_Crop55[Crop]="","",IFERROR(AVERAGEIFS(Nutrients[Mo],Nutrients[For],Recipes_Crop55[Crop],Nutrients[Active],"1"),""))</f>
        <v>2.4E-2</v>
      </c>
      <c r="P32" s="55">
        <f>IF(Recipes_Crop55[Crop]="","",IFERROR(AVERAGEIFS(Nutrients[Zn],Nutrients[For],Recipes_Crop55[Crop],Nutrients[Active],"1"),""))</f>
        <v>0.13</v>
      </c>
      <c r="Q32" s="55">
        <f>IF(Recipes_Crop55[Crop]="","",IFERROR(AVERAGEIFS(Nutrients[Ni],Nutrients[For],Recipes_Crop55[Crop],Nutrients[Active],"1"),""))</f>
        <v>0.03</v>
      </c>
      <c r="R32" s="55">
        <f>IF(Recipes_Crop55[Crop]="","",IFERROR(AVERAGEIFS(Nutrients[Cl],Nutrients[For],Recipes_Crop55[Crop],Nutrients[Active],"1"),""))</f>
        <v>1.77</v>
      </c>
      <c r="S32" s="55" t="str">
        <f>IF(Recipes_Crop55[Crop]="","",IFERROR(AVERAGEIFS(Nutrients[Na],Nutrients[For],Recipes_Crop55[Crop],Nutrients[Active],"1"),""))</f>
        <v/>
      </c>
      <c r="T32" s="55">
        <f>IF(Recipes_Crop55[Crop]="","",IFERROR(AVERAGEIFS(Nutrients[Si],Nutrients[For],Recipes_Crop55[Crop],Nutrients[Active],"1"),""))</f>
        <v>28</v>
      </c>
      <c r="U32" s="55" t="str">
        <f>IF(Recipes_Crop55[Crop]="","",IFERROR(AVERAGEIFS(Nutrients[Co],Nutrients[For],Recipes_Crop55[Crop],Nutrients[Active],"1"),""))</f>
        <v/>
      </c>
      <c r="V32" s="55" t="str">
        <f>IF(Recipes_Crop55[Crop]="","",IFERROR(AVERAGEIFS(Nutrients[I],Nutrients[For],Recipes_Crop55[Crop],Nutrients[Active],"1"),""))</f>
        <v/>
      </c>
      <c r="W32" s="55" t="str">
        <f>IF(Recipes_Crop55[Crop]="","",IFERROR(AVERAGEIFS(Nutrients[Se],Nutrients[For],Recipes_Crop55[Crop],Nutrients[Active],"1"),""))</f>
        <v/>
      </c>
      <c r="X32" s="55" t="str">
        <f>IF(Recipes_Crop55[Crop]="","",IFERROR(AVERAGEIFS(Nutrients[Al],Nutrients[For],Recipes_Crop55[Crop],Nutrients[Active],"1"),""))</f>
        <v/>
      </c>
      <c r="Y32" s="55">
        <f>IF(AND(ISNUMBER(Recipe_Calc52[[#This Row],[K]]),ISNUMBER(Recipe_Calc52[[#This Row],[Total N]])),IF(Recipe_Calc52[[#This Row],[Total N]]&gt;0,Recipe_Calc52[[#This Row],[K]]/Recipe_Calc52[[#This Row],[Total N]],""),"")</f>
        <v>1.4</v>
      </c>
    </row>
    <row r="33" spans="1:24">
      <c r="A33" s="55" t="s">
        <v>768</v>
      </c>
      <c r="B33" s="55">
        <f ca="1">IF(AND(ISNUMBER(INDEX(Recipe_Calc52[Total N],8)),N(INDEX(Recipe_Calc52[Total N],8))&gt;0),INDEX(Recipe_Calc52[Total N],7)/INDEX(Recipe_Calc52[Total N],8)*100,"")</f>
        <v>83.096774193548384</v>
      </c>
      <c r="F33" s="55">
        <f ca="1">IF(AND(ISNUMBER(INDEX(Recipe_Calc52[P],8)),N(INDEX(Recipe_Calc52[P],8))&gt;0),INDEX(Recipe_Calc52[P],7)/INDEX(Recipe_Calc52[P],8)*100,"")</f>
        <v>58.486936705972845</v>
      </c>
      <c r="G33" s="55">
        <f ca="1">IF(AND(ISNUMBER(INDEX(Recipe_Calc52[K],8)),N(INDEX(Recipe_Calc52[K],8))&gt;0),INDEX(Recipe_Calc52[K],7)/INDEX(Recipe_Calc52[K],8)*100,"")</f>
        <v>65.697783256854564</v>
      </c>
      <c r="H33" s="55">
        <f ca="1">IF(AND(ISNUMBER(INDEX(Recipe_Calc52[Ca],8)),N(INDEX(Recipe_Calc52[Ca],8))&gt;0),INDEX(Recipe_Calc52[Ca],7)/INDEX(Recipe_Calc52[Ca],8)*100,"")</f>
        <v>80.788530465949833</v>
      </c>
      <c r="I33" s="55">
        <f ca="1">IF(AND(ISNUMBER(INDEX(Recipe_Calc52[Mg],8)),N(INDEX(Recipe_Calc52[Mg],8))&gt;0),INDEX(Recipe_Calc52[Mg],7)/INDEX(Recipe_Calc52[Mg],8)*100,"")</f>
        <v>211.13440860215053</v>
      </c>
      <c r="J33" s="55">
        <f ca="1">IF(AND(ISNUMBER(INDEX(Recipe_Calc52[S],8)),N(INDEX(Recipe_Calc52[S],8))&gt;0),INDEX(Recipe_Calc52[S],7)/INDEX(Recipe_Calc52[S],8)*100,"")</f>
        <v>123.28024193548386</v>
      </c>
      <c r="K33" s="55">
        <f ca="1">IF(AND(ISNUMBER(INDEX(Recipe_Calc52[B],8)),N(INDEX(Recipe_Calc52[B],8))&gt;0),INDEX(Recipe_Calc52[B],7)/INDEX(Recipe_Calc52[B],8)*100,"")</f>
        <v>129.83870967741936</v>
      </c>
      <c r="L33" s="55">
        <f ca="1">IF(AND(ISNUMBER(INDEX(Recipe_Calc52[Cu],8)),N(INDEX(Recipe_Calc52[Cu],8))&gt;0),INDEX(Recipe_Calc52[Cu],7)/INDEX(Recipe_Calc52[Cu],8)*100,"")</f>
        <v>903.22580645161281</v>
      </c>
      <c r="M33" s="55">
        <f ca="1">IF(AND(ISNUMBER(INDEX(Recipe_Calc52[Fe],8)),N(INDEX(Recipe_Calc52[Fe],8))&gt;0),INDEX(Recipe_Calc52[Fe],7)/INDEX(Recipe_Calc52[Fe],8)*100,"")</f>
        <v>155.80645161290323</v>
      </c>
      <c r="N33" s="55">
        <f ca="1">IF(AND(ISNUMBER(INDEX(Recipe_Calc52[Mn],8)),N(INDEX(Recipe_Calc52[Mn],8))&gt;0),INDEX(Recipe_Calc52[Mn],7)/INDEX(Recipe_Calc52[Mn],8)*100,"")</f>
        <v>207.74193548387098</v>
      </c>
      <c r="O33" s="55">
        <f ca="1">IF(AND(ISNUMBER(INDEX(Recipe_Calc52[Mo],8)),N(INDEX(Recipe_Calc52[Mo],8))&gt;0),INDEX(Recipe_Calc52[Mo],7)/INDEX(Recipe_Calc52[Mo],8)*100,"")</f>
        <v>43.279569892473113</v>
      </c>
      <c r="P33" s="55">
        <f ca="1">IF(AND(ISNUMBER(INDEX(Recipe_Calc52[Zn],8)),N(INDEX(Recipe_Calc52[Zn],8))&gt;0),INDEX(Recipe_Calc52[Zn],7)/INDEX(Recipe_Calc52[Zn],8)*100,"")</f>
        <v>279.6526054590571</v>
      </c>
      <c r="Q33" s="55">
        <f ca="1">IF(AND(ISNUMBER(INDEX(Recipe_Calc52[Ni],8)),N(INDEX(Recipe_Calc52[Ni],8))&gt;0),INDEX(Recipe_Calc52[Ni],7)/INDEX(Recipe_Calc52[Ni],8)*100,"")</f>
        <v>0</v>
      </c>
      <c r="R33" s="55">
        <f ca="1">IF(AND(ISNUMBER(INDEX(Recipe_Calc52[Cl],8)),N(INDEX(Recipe_Calc52[Cl],8))&gt;0),INDEX(Recipe_Calc52[Cl],7)/INDEX(Recipe_Calc52[Cl],8)*100,"")</f>
        <v>0</v>
      </c>
      <c r="S33" s="55" t="str">
        <f>IF(AND(ISNUMBER(INDEX(Recipe_Calc52[Na],8)),N(INDEX(Recipe_Calc52[Na],8))&gt;0),INDEX(Recipe_Calc52[Na],7)/INDEX(Recipe_Calc52[Na],8)*100,"")</f>
        <v/>
      </c>
      <c r="T33" s="55">
        <f ca="1">IF(AND(ISNUMBER(INDEX(Recipe_Calc52[Si],8)),N(INDEX(Recipe_Calc52[Si],8))&gt;0),INDEX(Recipe_Calc52[Si],7)/INDEX(Recipe_Calc52[Si],8)*100,"")</f>
        <v>0</v>
      </c>
      <c r="U33" s="55" t="str">
        <f>IF(AND(ISNUMBER(INDEX(Recipe_Calc52[Co],8)),N(INDEX(Recipe_Calc52[Co],8))&gt;0),INDEX(Recipe_Calc52[Co],7)/INDEX(Recipe_Calc52[Co],8)*100,"")</f>
        <v/>
      </c>
      <c r="V33" s="55" t="str">
        <f>IF(AND(ISNUMBER(INDEX(Recipe_Calc52[I],8)),N(INDEX(Recipe_Calc52[I],8))&gt;0),INDEX(Recipe_Calc52[I],7)/INDEX(Recipe_Calc52[I],8)*100,"")</f>
        <v/>
      </c>
      <c r="W33" s="55" t="str">
        <f>IF(AND(ISNUMBER(INDEX(Recipe_Calc52[Se],8)),N(INDEX(Recipe_Calc52[Se],8))&gt;0),INDEX(Recipe_Calc52[Se],7)/INDEX(Recipe_Calc52[Se],8)*100,"")</f>
        <v/>
      </c>
      <c r="X33" s="55" t="str">
        <f>IF(AND(ISNUMBER(INDEX(Recipe_Calc52[Al],8)),N(INDEX(Recipe_Calc52[Al],8))&gt;0),INDEX(Recipe_Calc52[Al],7)/INDEX(Recipe_Calc52[Al],8)*100,"")</f>
        <v/>
      </c>
    </row>
  </sheetData>
  <conditionalFormatting sqref="C22:X23 C13:X14 A24:X1000001 A12:X12 B11:AO11 A21:X21 Y12:AN14 Y21:AN1000001 A15:AL20">
    <cfRule type="expression" dxfId="67" priority="1">
      <formula>_xlfn.ISFORMULA(A11)</formula>
    </cfRule>
  </conditionalFormatting>
  <dataValidations count="2">
    <dataValidation allowBlank="1" showInputMessage="1" showErrorMessage="1" sqref="F11 B11:C11 A16:C20" xr:uid="{0EBC375A-B14E-4FC3-93BF-93E281B7A5D7}"/>
    <dataValidation type="list" allowBlank="1" showInputMessage="1" showErrorMessage="1" sqref="A11" xr:uid="{DC116E56-81B8-4BAC-AFC0-7FD8F1B138EF}">
      <formula1>Jars\Jar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C0888-6848-4CC7-97C3-A4B42AE5D2E7}">
  <dimension ref="A1:P66"/>
  <sheetViews>
    <sheetView topLeftCell="H7" workbookViewId="0">
      <selection activeCell="M11" sqref="M11"/>
    </sheetView>
  </sheetViews>
  <sheetFormatPr defaultRowHeight="15"/>
  <cols>
    <col min="1" max="1" width="13.42578125" bestFit="1" customWidth="1"/>
    <col min="2" max="2" width="20.7109375" bestFit="1" customWidth="1"/>
    <col min="3" max="3" width="11.42578125" bestFit="1" customWidth="1"/>
    <col min="4" max="4" width="14.7109375" bestFit="1" customWidth="1"/>
    <col min="5" max="5" width="17.85546875" bestFit="1" customWidth="1"/>
    <col min="6" max="6" width="28.140625" customWidth="1"/>
    <col min="7" max="7" width="16.28515625" bestFit="1" customWidth="1"/>
    <col min="8" max="8" width="31.5703125" bestFit="1" customWidth="1"/>
    <col min="9" max="9" width="10" bestFit="1" customWidth="1"/>
    <col min="10" max="11" width="12.85546875" customWidth="1"/>
    <col min="12" max="12" width="10.7109375" customWidth="1"/>
    <col min="13" max="13" width="11.5703125" customWidth="1"/>
    <col min="14" max="14" width="20.140625" customWidth="1"/>
    <col min="15" max="15" width="40.7109375" customWidth="1"/>
    <col min="17" max="17" width="10.42578125" customWidth="1"/>
    <col min="18" max="18" width="9.85546875" customWidth="1"/>
    <col min="19" max="19" width="11.5703125" bestFit="1" customWidth="1"/>
  </cols>
  <sheetData>
    <row r="1" spans="1:16" ht="15.75" customHeight="1">
      <c r="A1" t="s">
        <v>769</v>
      </c>
    </row>
    <row r="9" spans="1:16">
      <c r="A9" s="10" t="s">
        <v>770</v>
      </c>
      <c r="B9" s="10" t="s">
        <v>771</v>
      </c>
      <c r="C9" s="10" t="s">
        <v>772</v>
      </c>
      <c r="D9" s="10" t="s">
        <v>773</v>
      </c>
      <c r="E9" s="10" t="s">
        <v>774</v>
      </c>
      <c r="F9" s="10" t="s">
        <v>775</v>
      </c>
      <c r="G9" t="s">
        <v>336</v>
      </c>
      <c r="H9" s="10" t="s">
        <v>776</v>
      </c>
      <c r="I9" t="s">
        <v>336</v>
      </c>
      <c r="K9" s="10" t="s">
        <v>777</v>
      </c>
      <c r="L9" t="s">
        <v>336</v>
      </c>
      <c r="M9" s="10" t="s">
        <v>778</v>
      </c>
      <c r="N9" s="10" t="s">
        <v>778</v>
      </c>
      <c r="O9" s="10" t="s">
        <v>779</v>
      </c>
      <c r="P9" t="s">
        <v>336</v>
      </c>
    </row>
    <row r="10" spans="1:16">
      <c r="A10" t="s">
        <v>567</v>
      </c>
      <c r="B10" t="s">
        <v>352</v>
      </c>
      <c r="C10" t="s">
        <v>286</v>
      </c>
      <c r="D10" t="s">
        <v>570</v>
      </c>
      <c r="E10" t="s">
        <v>577</v>
      </c>
      <c r="F10" t="s">
        <v>576</v>
      </c>
      <c r="G10" t="s">
        <v>780</v>
      </c>
      <c r="H10" t="s">
        <v>781</v>
      </c>
      <c r="I10" t="s">
        <v>782</v>
      </c>
      <c r="K10" s="10"/>
      <c r="M10" t="s">
        <v>286</v>
      </c>
      <c r="N10" t="s">
        <v>352</v>
      </c>
      <c r="O10" t="s">
        <v>783</v>
      </c>
    </row>
    <row r="11" spans="1:16">
      <c r="A11" t="str" cm="1">
        <f t="array" ref="A11">_xlfn.LET(_xlpm.value, INDEX(Growing[Seeding Jar], ROW()-ROW(Growing[#Headers])), IF(_xlpm.value="", "", _xlpm.value))</f>
        <v>1</v>
      </c>
      <c r="B11" t="e">
        <f>IF(vRG_1[[#This Row],[Seeding Jar]]="", "", VALUE( _xlfn.XLOOKUP(SUBSTITUTE(vRG_1[[#This Row],[Seeding Jar]], "*", ""), Jars[Jar],#REF!)))</f>
        <v>#REF!</v>
      </c>
      <c r="C11" t="str">
        <f>TRIM(Growing[[#This Row],[Seed]])</f>
        <v>3059JP.65</v>
      </c>
      <c r="D11" t="str">
        <f>IF(Growing[[#This Row],[Date Seeded]]="", "", TEXT(Growing[[#This Row],[Date Seeded]], "YYYY-MM-dd"))</f>
        <v>Unknown</v>
      </c>
      <c r="E11" t="str">
        <f>IF(Growing[[#This Row],[Transplant Date]]="", "", TEXT(Growing[[#This Row],[Transplant Date]], "YYYY-MM-dd"))</f>
        <v>None</v>
      </c>
      <c r="F11" t="str">
        <f>IF(Growing[[#This Row],[Transplant Root Length (mm)]]="", "", IFERROR(VALUE(Growing[[#This Row],[Transplant Root Length (mm)]]), ""))</f>
        <v/>
      </c>
      <c r="G11" t="str">
        <f>IFERROR(VALUE(DATEVALUE(vRG_1[[#This Row],[Transplant Date]])-DATEVALUE(vRG_1[[#This Row],[Date Seeded]])), "")</f>
        <v/>
      </c>
      <c r="H11" t="str">
        <f>IFERROR(ROUND(vRG_1[[#This Row],[Transplant Root Length (mm)]]/vRG_1[[#This Row],[Days Between]], 2), "")</f>
        <v/>
      </c>
      <c r="I11">
        <f>IF(AND(ISNUMBER(vRG_1[[#This Row],[Transplant Root Length (mm)]]),ISNUMBER(vRG_1[[#This Row],[Days Between]]),vRG_1[[#This Row],[Days Between]]&gt;0,ISNUMBER(vRG_1[[#This Row],[Fertilizer Added (g)]])), 1, 0)</f>
        <v>0</v>
      </c>
      <c r="K11" t="e" cm="1" vm="1">
        <f t="array" ref="K11">_xlfn.LET(_xlpm.data, _xlfn.UNIQUE(_xlfn._xlws.FILTER(_xlfn.HSTACK(vRG_1[Seed], vRG_1[Fertilizer Added (g)]), VALUE(vRG_1[Include])=1)), _xlfn.SORTBY(_xlpm.data, _xlfn.CHOOSECOLS(_xlpm.data, 2), 1, VALUE(_xlfn.CHOOSECOLS(_xlpm.data, 1)), 1))</f>
        <v>#VALUE!</v>
      </c>
      <c r="M11" t="e" cm="1" vm="2">
        <f t="array" aca="1" ref="M11" ca="1">_xlfn.LET(_xlpm.value, OFFSET(INDIRECT(ADDRESS(ROW(),COLUMN())),0,-2), IF(_xlpm.value="","",_xlpm.value))</f>
        <v>#VALUE!</v>
      </c>
      <c r="N11" t="str" cm="1">
        <f t="array" aca="1" ref="N11" ca="1">_xlfn.LET(_xlpm.value, OFFSET(INDIRECT(ADDRESS(ROW(),COLUMN())),0,-2), IF(_xlpm.value="","",_xlpm.value))</f>
        <v/>
      </c>
      <c r="O11" t="str">
        <f ca="1">IFERROR(ROUND(AVERAGEIFS(vRG_1[Root Length per Day (mm/day)],vRG_1[Seed],vRG_2[[#This Row],[Seed]], vRG_1[Fertilizer Added (g)], vRG_2[[#This Row],[Fertilizer Added (g)]]), 2), "")</f>
        <v/>
      </c>
    </row>
    <row r="12" spans="1:16">
      <c r="A12" t="str" cm="1">
        <f t="array" ref="A12">_xlfn.LET(
    _xlpm.value, INDEX(Growing[Seeding Jar], ROW()-ROW(Growing[#Headers])),
    IF(_xlpm.value="", "", _xlpm.value)
)</f>
        <v>2</v>
      </c>
      <c r="B12" t="e">
        <f>IF(vRG_1[[#This Row],[Seeding Jar]]="", "", VALUE( _xlfn.XLOOKUP(SUBSTITUTE(vRG_1[[#This Row],[Seeding Jar]], "*", ""), Jars[Jar],#REF!)))</f>
        <v>#REF!</v>
      </c>
      <c r="C12" t="str">
        <f>TRIM(Growing[[#This Row],[Seed]])</f>
        <v>3059JP.65</v>
      </c>
      <c r="D12" t="str">
        <f>IF(Growing[[#This Row],[Date Seeded]]="", "", TEXT(Growing[[#This Row],[Date Seeded]], "YYYY-MM-dd"))</f>
        <v>Unknown</v>
      </c>
      <c r="E12" t="str">
        <f>IF(Growing[[#This Row],[Transplant Date]]="", "", TEXT(Growing[[#This Row],[Transplant Date]], "YYYY-MM-dd"))</f>
        <v>None</v>
      </c>
      <c r="F12" t="str">
        <f>IF(Growing[[#This Row],[Transplant Root Length (mm)]]="", "", IFERROR(VALUE(Growing[[#This Row],[Transplant Root Length (mm)]]), ""))</f>
        <v/>
      </c>
      <c r="G12" t="str">
        <f>IFERROR(VALUE(DATEVALUE(vRG_1[[#This Row],[Transplant Date]])-DATEVALUE(vRG_1[[#This Row],[Date Seeded]])), "")</f>
        <v/>
      </c>
      <c r="H12" t="str">
        <f>IFERROR(ROUND(vRG_1[[#This Row],[Transplant Root Length (mm)]]/vRG_1[[#This Row],[Days Between]], 2), "")</f>
        <v/>
      </c>
      <c r="I12">
        <f>IF(AND(ISNUMBER(vRG_1[[#This Row],[Transplant Root Length (mm)]]),ISNUMBER(vRG_1[[#This Row],[Days Between]]),vRG_1[[#This Row],[Days Between]]&gt;0,ISNUMBER(vRG_1[[#This Row],[Fertilizer Added (g)]])), 1, 0)</f>
        <v>0</v>
      </c>
      <c r="M12" t="str" cm="1">
        <f t="array" aca="1" ref="M12" ca="1">_xlfn.LET(_xlpm.value, OFFSET(INDIRECT(ADDRESS(ROW(),COLUMN())),0,-2), IF(_xlpm.value="","",_xlpm.value))</f>
        <v/>
      </c>
      <c r="N12" t="str" cm="1">
        <f t="array" aca="1" ref="N12" ca="1">_xlfn.LET(_xlpm.value, OFFSET(INDIRECT(ADDRESS(ROW(),COLUMN())),0,-2), IF(_xlpm.value="","",_xlpm.value))</f>
        <v/>
      </c>
      <c r="O12" t="str">
        <f ca="1">IFERROR(ROUND(AVERAGEIFS(vRG_1[Root Length per Day (mm/day)],vRG_1[Seed],vRG_2[[#This Row],[Seed]], vRG_1[Fertilizer Added (g)], vRG_2[[#This Row],[Fertilizer Added (g)]]), 2), "")</f>
        <v/>
      </c>
    </row>
    <row r="13" spans="1:16">
      <c r="A13" t="str" cm="1">
        <f t="array" ref="A13">_xlfn.LET(
    _xlpm.value, INDEX(Growing[Seeding Jar], ROW()-ROW(Growing[#Headers])),
    IF(_xlpm.value="", "", _xlpm.value)
)</f>
        <v>3</v>
      </c>
      <c r="B13" t="e">
        <f>IF(vRG_1[[#This Row],[Seeding Jar]]="", "", VALUE( _xlfn.XLOOKUP(SUBSTITUTE(vRG_1[[#This Row],[Seeding Jar]], "*", ""), Jars[Jar],#REF!)))</f>
        <v>#REF!</v>
      </c>
      <c r="C13" t="str">
        <f>TRIM(Growing[[#This Row],[Seed]])</f>
        <v>3059JP.65</v>
      </c>
      <c r="D13" t="str">
        <f>IF(Growing[[#This Row],[Date Seeded]]="", "", TEXT(Growing[[#This Row],[Date Seeded]], "YYYY-MM-dd"))</f>
        <v>Unknown</v>
      </c>
      <c r="E13" t="str">
        <f>IF(Growing[[#This Row],[Transplant Date]]="", "", TEXT(Growing[[#This Row],[Transplant Date]], "YYYY-MM-dd"))</f>
        <v>None</v>
      </c>
      <c r="F13" t="str">
        <f>IF(Growing[[#This Row],[Transplant Root Length (mm)]]="", "", IFERROR(VALUE(Growing[[#This Row],[Transplant Root Length (mm)]]), ""))</f>
        <v/>
      </c>
      <c r="G13" t="str">
        <f>IFERROR(VALUE(DATEVALUE(vRG_1[[#This Row],[Transplant Date]])-DATEVALUE(vRG_1[[#This Row],[Date Seeded]])), "")</f>
        <v/>
      </c>
      <c r="H13" t="str">
        <f>IFERROR(ROUND(vRG_1[[#This Row],[Transplant Root Length (mm)]]/vRG_1[[#This Row],[Days Between]], 2), "")</f>
        <v/>
      </c>
      <c r="I13">
        <f>IF(AND(ISNUMBER(vRG_1[[#This Row],[Transplant Root Length (mm)]]),ISNUMBER(vRG_1[[#This Row],[Days Between]]),vRG_1[[#This Row],[Days Between]]&gt;0,ISNUMBER(vRG_1[[#This Row],[Fertilizer Added (g)]])), 1, 0)</f>
        <v>0</v>
      </c>
      <c r="M13" t="str" cm="1">
        <f t="array" aca="1" ref="M13" ca="1">_xlfn.LET(_xlpm.value, OFFSET(INDIRECT(ADDRESS(ROW(),COLUMN())),0,-2), IF(_xlpm.value="","",_xlpm.value))</f>
        <v/>
      </c>
      <c r="N13" t="str" cm="1">
        <f t="array" aca="1" ref="N13" ca="1">_xlfn.LET(_xlpm.value, OFFSET(INDIRECT(ADDRESS(ROW(),COLUMN())),0,-2), IF(_xlpm.value="","",_xlpm.value))</f>
        <v/>
      </c>
      <c r="O13" t="str">
        <f ca="1">IFERROR(ROUND(AVERAGEIFS(vRG_1[Root Length per Day (mm/day)],vRG_1[Seed],vRG_2[[#This Row],[Seed]], vRG_1[Fertilizer Added (g)], vRG_2[[#This Row],[Fertilizer Added (g)]]), 2), "")</f>
        <v/>
      </c>
    </row>
    <row r="14" spans="1:16">
      <c r="A14" t="str" cm="1">
        <f t="array" ref="A14">_xlfn.LET(
    _xlpm.value, INDEX(Growing[Seeding Jar], ROW()-ROW(Growing[#Headers])),
    IF(_xlpm.value="", "", _xlpm.value)
)</f>
        <v>4</v>
      </c>
      <c r="B14" t="e">
        <f>IF(vRG_1[[#This Row],[Seeding Jar]]="", "", VALUE( _xlfn.XLOOKUP(SUBSTITUTE(vRG_1[[#This Row],[Seeding Jar]], "*", ""), Jars[Jar],#REF!)))</f>
        <v>#REF!</v>
      </c>
      <c r="C14" t="str">
        <f>TRIM(Growing[[#This Row],[Seed]])</f>
        <v>3059JP.65</v>
      </c>
      <c r="D14" t="str">
        <f>IF(Growing[[#This Row],[Date Seeded]]="", "", TEXT(Growing[[#This Row],[Date Seeded]], "YYYY-MM-dd"))</f>
        <v>Unknown</v>
      </c>
      <c r="E14" t="str">
        <f>IF(Growing[[#This Row],[Transplant Date]]="", "", TEXT(Growing[[#This Row],[Transplant Date]], "YYYY-MM-dd"))</f>
        <v>None</v>
      </c>
      <c r="F14" t="str">
        <f>IF(Growing[[#This Row],[Transplant Root Length (mm)]]="", "", IFERROR(VALUE(Growing[[#This Row],[Transplant Root Length (mm)]]), ""))</f>
        <v/>
      </c>
      <c r="G14" t="str">
        <f>IFERROR(VALUE(DATEVALUE(vRG_1[[#This Row],[Transplant Date]])-DATEVALUE(vRG_1[[#This Row],[Date Seeded]])), "")</f>
        <v/>
      </c>
      <c r="H14" t="str">
        <f>IFERROR(ROUND(vRG_1[[#This Row],[Transplant Root Length (mm)]]/vRG_1[[#This Row],[Days Between]], 2), "")</f>
        <v/>
      </c>
      <c r="I14">
        <f>IF(AND(ISNUMBER(vRG_1[[#This Row],[Transplant Root Length (mm)]]),ISNUMBER(vRG_1[[#This Row],[Days Between]]),vRG_1[[#This Row],[Days Between]]&gt;0,ISNUMBER(vRG_1[[#This Row],[Fertilizer Added (g)]])), 1, 0)</f>
        <v>0</v>
      </c>
      <c r="M14" t="str" cm="1">
        <f t="array" aca="1" ref="M14" ca="1">_xlfn.LET(_xlpm.value, OFFSET(INDIRECT(ADDRESS(ROW(),COLUMN())),0,-2), IF(_xlpm.value="","",_xlpm.value))</f>
        <v/>
      </c>
      <c r="N14" s="17" t="str" cm="1">
        <f t="array" aca="1" ref="N14" ca="1">_xlfn.LET(_xlpm.value, OFFSET(INDIRECT(ADDRESS(ROW(),COLUMN())),0,-2), IF(_xlpm.value="","",_xlpm.value))</f>
        <v/>
      </c>
      <c r="O14" s="17" t="str">
        <f ca="1">IFERROR(ROUND(AVERAGEIFS(vRG_1[Root Length per Day (mm/day)],vRG_1[Seed],vRG_2[[#This Row],[Seed]], vRG_1[Fertilizer Added (g)], vRG_2[[#This Row],[Fertilizer Added (g)]]), 2), "")</f>
        <v/>
      </c>
    </row>
    <row r="15" spans="1:16">
      <c r="A15" t="str" cm="1">
        <f t="array" ref="A15">_xlfn.LET(
    _xlpm.value, INDEX(Growing[Seeding Jar], ROW()-ROW(Growing[#Headers])),
    IF(_xlpm.value="", "", _xlpm.value)
)</f>
        <v>5</v>
      </c>
      <c r="B15" t="e">
        <f>IF(vRG_1[[#This Row],[Seeding Jar]]="", "", VALUE( _xlfn.XLOOKUP(SUBSTITUTE(vRG_1[[#This Row],[Seeding Jar]], "*", ""), Jars[Jar],#REF!)))</f>
        <v>#REF!</v>
      </c>
      <c r="C15" t="str">
        <f>TRIM(Growing[[#This Row],[Seed]])</f>
        <v>2178GP.53</v>
      </c>
      <c r="D15" t="str">
        <f>IF(Growing[[#This Row],[Date Seeded]]="", "", TEXT(Growing[[#This Row],[Date Seeded]], "YYYY-MM-dd"))</f>
        <v>Unknown</v>
      </c>
      <c r="E15" t="str">
        <f>IF(Growing[[#This Row],[Transplant Date]]="", "", TEXT(Growing[[#This Row],[Transplant Date]], "YYYY-MM-dd"))</f>
        <v>None</v>
      </c>
      <c r="F15" t="str">
        <f>IF(Growing[[#This Row],[Transplant Root Length (mm)]]="", "", IFERROR(VALUE(Growing[[#This Row],[Transplant Root Length (mm)]]), ""))</f>
        <v/>
      </c>
      <c r="G15" t="str">
        <f>IFERROR(VALUE(DATEVALUE(vRG_1[[#This Row],[Transplant Date]])-DATEVALUE(vRG_1[[#This Row],[Date Seeded]])), "")</f>
        <v/>
      </c>
      <c r="H15" t="str">
        <f>IFERROR(ROUND(vRG_1[[#This Row],[Transplant Root Length (mm)]]/vRG_1[[#This Row],[Days Between]], 2), "")</f>
        <v/>
      </c>
      <c r="I15">
        <f>IF(AND(ISNUMBER(vRG_1[[#This Row],[Transplant Root Length (mm)]]),ISNUMBER(vRG_1[[#This Row],[Days Between]]),vRG_1[[#This Row],[Days Between]]&gt;0,ISNUMBER(vRG_1[[#This Row],[Fertilizer Added (g)]])), 1, 0)</f>
        <v>0</v>
      </c>
      <c r="M15" t="str" cm="1">
        <f t="array" aca="1" ref="M15" ca="1">_xlfn.LET(_xlpm.value, OFFSET(INDIRECT(ADDRESS(ROW(),COLUMN())),0,-2), IF(_xlpm.value="","",_xlpm.value))</f>
        <v/>
      </c>
      <c r="N15" s="17" t="str" cm="1">
        <f t="array" aca="1" ref="N15" ca="1">_xlfn.LET(_xlpm.value, OFFSET(INDIRECT(ADDRESS(ROW(),COLUMN())),0,-2), IF(_xlpm.value="","",_xlpm.value))</f>
        <v/>
      </c>
      <c r="O15" s="17" t="str">
        <f ca="1">IFERROR(ROUND(AVERAGEIFS(vRG_1[Root Length per Day (mm/day)],vRG_1[Seed],vRG_2[[#This Row],[Seed]], vRG_1[Fertilizer Added (g)], vRG_2[[#This Row],[Fertilizer Added (g)]]), 2), "")</f>
        <v/>
      </c>
    </row>
    <row r="16" spans="1:16">
      <c r="A16" t="str" cm="1">
        <f t="array" ref="A16">_xlfn.LET(
    _xlpm.value, INDEX(Growing[Seeding Jar], ROW()-ROW(Growing[#Headers])),
    IF(_xlpm.value="", "", _xlpm.value)
)</f>
        <v>6</v>
      </c>
      <c r="B16" t="e">
        <f>IF(vRG_1[[#This Row],[Seeding Jar]]="", "", VALUE( _xlfn.XLOOKUP(SUBSTITUTE(vRG_1[[#This Row],[Seeding Jar]], "*", ""), Jars[Jar],#REF!)))</f>
        <v>#REF!</v>
      </c>
      <c r="C16" t="str">
        <f>TRIM(Growing[[#This Row],[Seed]])</f>
        <v>3057JP.65</v>
      </c>
      <c r="D16" t="str">
        <f>IF(Growing[[#This Row],[Date Seeded]]="", "", TEXT(Growing[[#This Row],[Date Seeded]], "YYYY-MM-dd"))</f>
        <v>Unknown</v>
      </c>
      <c r="E16" t="str">
        <f>IF(Growing[[#This Row],[Transplant Date]]="", "", TEXT(Growing[[#This Row],[Transplant Date]], "YYYY-MM-dd"))</f>
        <v>None</v>
      </c>
      <c r="F16" t="str">
        <f>IF(Growing[[#This Row],[Transplant Root Length (mm)]]="", "", IFERROR(VALUE(Growing[[#This Row],[Transplant Root Length (mm)]]), ""))</f>
        <v/>
      </c>
      <c r="G16" t="str">
        <f>IFERROR(VALUE(DATEVALUE(vRG_1[[#This Row],[Transplant Date]])-DATEVALUE(vRG_1[[#This Row],[Date Seeded]])), "")</f>
        <v/>
      </c>
      <c r="H16" t="str">
        <f>IFERROR(ROUND(vRG_1[[#This Row],[Transplant Root Length (mm)]]/vRG_1[[#This Row],[Days Between]], 2), "")</f>
        <v/>
      </c>
      <c r="I16">
        <f>IF(AND(ISNUMBER(vRG_1[[#This Row],[Transplant Root Length (mm)]]),ISNUMBER(vRG_1[[#This Row],[Days Between]]),vRG_1[[#This Row],[Days Between]]&gt;0,ISNUMBER(vRG_1[[#This Row],[Fertilizer Added (g)]])), 1, 0)</f>
        <v>0</v>
      </c>
      <c r="M16" s="17" t="str" cm="1">
        <f t="array" aca="1" ref="M16" ca="1">_xlfn.LET(_xlpm.value, OFFSET(INDIRECT(ADDRESS(ROW(),COLUMN())),0,-2), IF(_xlpm.value="","",_xlpm.value))</f>
        <v/>
      </c>
      <c r="N16" s="17" t="str" cm="1">
        <f t="array" aca="1" ref="N16" ca="1">_xlfn.LET(_xlpm.value, OFFSET(INDIRECT(ADDRESS(ROW(),COLUMN())),0,-2), IF(_xlpm.value="","",_xlpm.value))</f>
        <v/>
      </c>
      <c r="O16" s="17" t="str">
        <f ca="1">IFERROR(ROUND(AVERAGEIFS(vRG_1[Root Length per Day (mm/day)],vRG_1[Seed],vRG_2[[#This Row],[Seed]], vRG_1[Fertilizer Added (g)], vRG_2[[#This Row],[Fertilizer Added (g)]]), 2), "")</f>
        <v/>
      </c>
    </row>
    <row r="17" spans="1:15">
      <c r="A17" t="str" cm="1">
        <f t="array" ref="A17">_xlfn.LET(
    _xlpm.value, INDEX(Growing[Seeding Jar], ROW()-ROW(Growing[#Headers])),
    IF(_xlpm.value="", "", _xlpm.value)
)</f>
        <v>7</v>
      </c>
      <c r="B17" t="e">
        <f>IF(vRG_1[[#This Row],[Seeding Jar]]="", "", VALUE( _xlfn.XLOOKUP(SUBSTITUTE(vRG_1[[#This Row],[Seeding Jar]], "*", ""), Jars[Jar],#REF!)))</f>
        <v>#REF!</v>
      </c>
      <c r="C17" t="str">
        <f>TRIM(Growing[[#This Row],[Seed]])</f>
        <v>3057JP.65</v>
      </c>
      <c r="D17" t="str">
        <f>IF(Growing[[#This Row],[Date Seeded]]="", "", TEXT(Growing[[#This Row],[Date Seeded]], "YYYY-MM-dd"))</f>
        <v>Unknown</v>
      </c>
      <c r="E17" t="str">
        <f>IF(Growing[[#This Row],[Transplant Date]]="", "", TEXT(Growing[[#This Row],[Transplant Date]], "YYYY-MM-dd"))</f>
        <v>None</v>
      </c>
      <c r="F17" t="str">
        <f>IF(Growing[[#This Row],[Transplant Root Length (mm)]]="", "", IFERROR(VALUE(Growing[[#This Row],[Transplant Root Length (mm)]]), ""))</f>
        <v/>
      </c>
      <c r="G17" t="str">
        <f>IFERROR(VALUE(DATEVALUE(vRG_1[[#This Row],[Transplant Date]])-DATEVALUE(vRG_1[[#This Row],[Date Seeded]])), "")</f>
        <v/>
      </c>
      <c r="H17" t="str">
        <f>IFERROR(ROUND(vRG_1[[#This Row],[Transplant Root Length (mm)]]/vRG_1[[#This Row],[Days Between]], 2), "")</f>
        <v/>
      </c>
      <c r="I17">
        <f>IF(AND(ISNUMBER(vRG_1[[#This Row],[Transplant Root Length (mm)]]),ISNUMBER(vRG_1[[#This Row],[Days Between]]),vRG_1[[#This Row],[Days Between]]&gt;0,ISNUMBER(vRG_1[[#This Row],[Fertilizer Added (g)]])), 1, 0)</f>
        <v>0</v>
      </c>
      <c r="M17" s="17" t="str" cm="1">
        <f t="array" aca="1" ref="M17" ca="1">_xlfn.LET(_xlpm.value, OFFSET(INDIRECT(ADDRESS(ROW(),COLUMN())),0,-2), IF(_xlpm.value="","",_xlpm.value))</f>
        <v/>
      </c>
      <c r="N17" s="17" t="str" cm="1">
        <f t="array" aca="1" ref="N17" ca="1">_xlfn.LET(_xlpm.value, OFFSET(INDIRECT(ADDRESS(ROW(),COLUMN())),0,-2), IF(_xlpm.value="","",_xlpm.value))</f>
        <v/>
      </c>
      <c r="O17" s="17" t="str">
        <f ca="1">IFERROR(ROUND(AVERAGEIFS(vRG_1[Root Length per Day (mm/day)],vRG_1[Seed],vRG_2[[#This Row],[Seed]], vRG_1[Fertilizer Added (g)], vRG_2[[#This Row],[Fertilizer Added (g)]]), 2), "")</f>
        <v/>
      </c>
    </row>
    <row r="18" spans="1:15">
      <c r="A18" t="str" cm="1">
        <f t="array" ref="A18">_xlfn.LET(
    _xlpm.value, INDEX(Growing[Seeding Jar], ROW()-ROW(Growing[#Headers])),
    IF(_xlpm.value="", "", _xlpm.value)
)</f>
        <v>8</v>
      </c>
      <c r="B18" t="e">
        <f>IF(vRG_1[[#This Row],[Seeding Jar]]="", "", VALUE( _xlfn.XLOOKUP(SUBSTITUTE(vRG_1[[#This Row],[Seeding Jar]], "*", ""), Jars[Jar],#REF!)))</f>
        <v>#REF!</v>
      </c>
      <c r="C18" t="str">
        <f>TRIM(Growing[[#This Row],[Seed]])</f>
        <v>3057JP.65</v>
      </c>
      <c r="D18" t="str">
        <f>IF(Growing[[#This Row],[Date Seeded]]="", "", TEXT(Growing[[#This Row],[Date Seeded]], "YYYY-MM-dd"))</f>
        <v>Unknown</v>
      </c>
      <c r="E18" t="str">
        <f>IF(Growing[[#This Row],[Transplant Date]]="", "", TEXT(Growing[[#This Row],[Transplant Date]], "YYYY-MM-dd"))</f>
        <v>None</v>
      </c>
      <c r="F18" t="str">
        <f>IF(Growing[[#This Row],[Transplant Root Length (mm)]]="", "", IFERROR(VALUE(Growing[[#This Row],[Transplant Root Length (mm)]]), ""))</f>
        <v/>
      </c>
      <c r="G18" t="str">
        <f>IFERROR(VALUE(DATEVALUE(vRG_1[[#This Row],[Transplant Date]])-DATEVALUE(vRG_1[[#This Row],[Date Seeded]])), "")</f>
        <v/>
      </c>
      <c r="H18" t="str">
        <f>IFERROR(ROUND(vRG_1[[#This Row],[Transplant Root Length (mm)]]/vRG_1[[#This Row],[Days Between]], 2), "")</f>
        <v/>
      </c>
      <c r="I18">
        <f>IF(AND(ISNUMBER(vRG_1[[#This Row],[Transplant Root Length (mm)]]),ISNUMBER(vRG_1[[#This Row],[Days Between]]),vRG_1[[#This Row],[Days Between]]&gt;0,ISNUMBER(vRG_1[[#This Row],[Fertilizer Added (g)]])), 1, 0)</f>
        <v>0</v>
      </c>
      <c r="M18" s="17" t="str" cm="1">
        <f t="array" aca="1" ref="M18" ca="1">_xlfn.LET(_xlpm.value, OFFSET(INDIRECT(ADDRESS(ROW(),COLUMN())),0,-2), IF(_xlpm.value="","",_xlpm.value))</f>
        <v/>
      </c>
      <c r="N18" s="17" t="str" cm="1">
        <f t="array" aca="1" ref="N18" ca="1">_xlfn.LET(_xlpm.value, OFFSET(INDIRECT(ADDRESS(ROW(),COLUMN())),0,-2), IF(_xlpm.value="","",_xlpm.value))</f>
        <v/>
      </c>
      <c r="O18" s="17" t="str">
        <f ca="1">IFERROR(ROUND(AVERAGEIFS(vRG_1[Root Length per Day (mm/day)],vRG_1[Seed],vRG_2[[#This Row],[Seed]], vRG_1[Fertilizer Added (g)], vRG_2[[#This Row],[Fertilizer Added (g)]]), 2), "")</f>
        <v/>
      </c>
    </row>
    <row r="19" spans="1:15">
      <c r="A19" t="str" cm="1">
        <f t="array" ref="A19">_xlfn.LET(
    _xlpm.value, INDEX(Growing[Seeding Jar], ROW()-ROW(Growing[#Headers])),
    IF(_xlpm.value="", "", _xlpm.value)
)</f>
        <v>9</v>
      </c>
      <c r="B19" t="e">
        <f>IF(vRG_1[[#This Row],[Seeding Jar]]="", "", VALUE( _xlfn.XLOOKUP(SUBSTITUTE(vRG_1[[#This Row],[Seeding Jar]], "*", ""), Jars[Jar],#REF!)))</f>
        <v>#REF!</v>
      </c>
      <c r="C19" t="str">
        <f>TRIM(Growing[[#This Row],[Seed]])</f>
        <v>3057JP.65</v>
      </c>
      <c r="D19" t="str">
        <f>IF(Growing[[#This Row],[Date Seeded]]="", "", TEXT(Growing[[#This Row],[Date Seeded]], "YYYY-MM-dd"))</f>
        <v>Unknown</v>
      </c>
      <c r="E19" t="str">
        <f>IF(Growing[[#This Row],[Transplant Date]]="", "", TEXT(Growing[[#This Row],[Transplant Date]], "YYYY-MM-dd"))</f>
        <v>None</v>
      </c>
      <c r="F19" t="str">
        <f>IF(Growing[[#This Row],[Transplant Root Length (mm)]]="", "", IFERROR(VALUE(Growing[[#This Row],[Transplant Root Length (mm)]]), ""))</f>
        <v/>
      </c>
      <c r="G19" t="str">
        <f>IFERROR(VALUE(DATEVALUE(vRG_1[[#This Row],[Transplant Date]])-DATEVALUE(vRG_1[[#This Row],[Date Seeded]])), "")</f>
        <v/>
      </c>
      <c r="H19" t="str">
        <f>IFERROR(ROUND(vRG_1[[#This Row],[Transplant Root Length (mm)]]/vRG_1[[#This Row],[Days Between]], 2), "")</f>
        <v/>
      </c>
      <c r="I19">
        <f>IF(AND(ISNUMBER(vRG_1[[#This Row],[Transplant Root Length (mm)]]),ISNUMBER(vRG_1[[#This Row],[Days Between]]),vRG_1[[#This Row],[Days Between]]&gt;0,ISNUMBER(vRG_1[[#This Row],[Fertilizer Added (g)]])), 1, 0)</f>
        <v>0</v>
      </c>
      <c r="M19" s="17" t="str" cm="1">
        <f t="array" aca="1" ref="M19" ca="1">_xlfn.LET(_xlpm.value, OFFSET(INDIRECT(ADDRESS(ROW(),COLUMN())),0,-2), IF(_xlpm.value="","",_xlpm.value))</f>
        <v/>
      </c>
      <c r="N19" s="17" t="str" cm="1">
        <f t="array" aca="1" ref="N19" ca="1">_xlfn.LET(_xlpm.value, OFFSET(INDIRECT(ADDRESS(ROW(),COLUMN())),0,-2), IF(_xlpm.value="","",_xlpm.value))</f>
        <v/>
      </c>
      <c r="O19" s="17" t="str">
        <f ca="1">IFERROR(ROUND(AVERAGEIFS(vRG_1[Root Length per Day (mm/day)],vRG_1[Seed],vRG_2[[#This Row],[Seed]], vRG_1[Fertilizer Added (g)], vRG_2[[#This Row],[Fertilizer Added (g)]]), 2), "")</f>
        <v/>
      </c>
    </row>
    <row r="20" spans="1:15">
      <c r="A20" t="str" cm="1">
        <f t="array" ref="A20">_xlfn.LET(
    _xlpm.value, INDEX(Growing[Seeding Jar], ROW()-ROW(Growing[#Headers])),
    IF(_xlpm.value="", "", _xlpm.value)
)</f>
        <v>10</v>
      </c>
      <c r="B20" t="e">
        <f>IF(vRG_1[[#This Row],[Seeding Jar]]="", "", VALUE( _xlfn.XLOOKUP(SUBSTITUTE(vRG_1[[#This Row],[Seeding Jar]], "*", ""), Jars[Jar],#REF!)))</f>
        <v>#REF!</v>
      </c>
      <c r="C20" t="str">
        <f>TRIM(Growing[[#This Row],[Seed]])</f>
        <v>3057JP.65</v>
      </c>
      <c r="D20" t="str">
        <f>IF(Growing[[#This Row],[Date Seeded]]="", "", TEXT(Growing[[#This Row],[Date Seeded]], "YYYY-MM-dd"))</f>
        <v>Unknown</v>
      </c>
      <c r="E20" t="str">
        <f>IF(Growing[[#This Row],[Transplant Date]]="", "", TEXT(Growing[[#This Row],[Transplant Date]], "YYYY-MM-dd"))</f>
        <v>None</v>
      </c>
      <c r="F20" t="str">
        <f>IF(Growing[[#This Row],[Transplant Root Length (mm)]]="", "", IFERROR(VALUE(Growing[[#This Row],[Transplant Root Length (mm)]]), ""))</f>
        <v/>
      </c>
      <c r="G20" t="str">
        <f>IFERROR(VALUE(DATEVALUE(vRG_1[[#This Row],[Transplant Date]])-DATEVALUE(vRG_1[[#This Row],[Date Seeded]])), "")</f>
        <v/>
      </c>
      <c r="H20" t="str">
        <f>IFERROR(ROUND(vRG_1[[#This Row],[Transplant Root Length (mm)]]/vRG_1[[#This Row],[Days Between]], 2), "")</f>
        <v/>
      </c>
      <c r="I20">
        <f>IF(AND(ISNUMBER(vRG_1[[#This Row],[Transplant Root Length (mm)]]),ISNUMBER(vRG_1[[#This Row],[Days Between]]),vRG_1[[#This Row],[Days Between]]&gt;0,ISNUMBER(vRG_1[[#This Row],[Fertilizer Added (g)]])), 1, 0)</f>
        <v>0</v>
      </c>
      <c r="M20" s="17" t="str" cm="1">
        <f t="array" aca="1" ref="M20" ca="1">_xlfn.LET(_xlpm.value, OFFSET(INDIRECT(ADDRESS(ROW(),COLUMN())),0,-2), IF(_xlpm.value="","",_xlpm.value))</f>
        <v/>
      </c>
      <c r="N20" s="17" t="str" cm="1">
        <f t="array" aca="1" ref="N20" ca="1">_xlfn.LET(_xlpm.value, OFFSET(INDIRECT(ADDRESS(ROW(),COLUMN())),0,-2), IF(_xlpm.value="","",_xlpm.value))</f>
        <v/>
      </c>
      <c r="O20" s="17" t="str">
        <f ca="1">IFERROR(ROUND(AVERAGEIFS(vRG_1[Root Length per Day (mm/day)],vRG_1[Seed],vRG_2[[#This Row],[Seed]], vRG_1[Fertilizer Added (g)], vRG_2[[#This Row],[Fertilizer Added (g)]]), 2), "")</f>
        <v/>
      </c>
    </row>
    <row r="21" spans="1:15">
      <c r="A21" t="str" cm="1">
        <f t="array" ref="A21">_xlfn.LET(
    _xlpm.value, INDEX(Growing[Seeding Jar], ROW()-ROW(Growing[#Headers])),
    IF(_xlpm.value="", "", _xlpm.value)
)</f>
        <v>11</v>
      </c>
      <c r="B21" t="e">
        <f>IF(vRG_1[[#This Row],[Seeding Jar]]="", "", VALUE( _xlfn.XLOOKUP(SUBSTITUTE(vRG_1[[#This Row],[Seeding Jar]], "*", ""), Jars[Jar],#REF!)))</f>
        <v>#REF!</v>
      </c>
      <c r="C21" t="str">
        <f>TRIM(Growing[[#This Row],[Seed]])</f>
        <v>3057JP.65</v>
      </c>
      <c r="D21" t="str">
        <f>IF(Growing[[#This Row],[Date Seeded]]="", "", TEXT(Growing[[#This Row],[Date Seeded]], "YYYY-MM-dd"))</f>
        <v>Unknown</v>
      </c>
      <c r="E21" t="str">
        <f>IF(Growing[[#This Row],[Transplant Date]]="", "", TEXT(Growing[[#This Row],[Transplant Date]], "YYYY-MM-dd"))</f>
        <v>None</v>
      </c>
      <c r="F21" t="str">
        <f>IF(Growing[[#This Row],[Transplant Root Length (mm)]]="", "", IFERROR(VALUE(Growing[[#This Row],[Transplant Root Length (mm)]]), ""))</f>
        <v/>
      </c>
      <c r="G21" t="str">
        <f>IFERROR(VALUE(DATEVALUE(vRG_1[[#This Row],[Transplant Date]])-DATEVALUE(vRG_1[[#This Row],[Date Seeded]])), "")</f>
        <v/>
      </c>
      <c r="H21" t="str">
        <f>IFERROR(ROUND(vRG_1[[#This Row],[Transplant Root Length (mm)]]/vRG_1[[#This Row],[Days Between]], 2), "")</f>
        <v/>
      </c>
      <c r="I21">
        <f>IF(AND(ISNUMBER(vRG_1[[#This Row],[Transplant Root Length (mm)]]),ISNUMBER(vRG_1[[#This Row],[Days Between]]),vRG_1[[#This Row],[Days Between]]&gt;0,ISNUMBER(vRG_1[[#This Row],[Fertilizer Added (g)]])), 1, 0)</f>
        <v>0</v>
      </c>
      <c r="M21" s="17" t="str" cm="1">
        <f t="array" aca="1" ref="M21" ca="1">_xlfn.LET(_xlpm.value, OFFSET(INDIRECT(ADDRESS(ROW(),COLUMN())),0,-2), IF(_xlpm.value="","",_xlpm.value))</f>
        <v/>
      </c>
      <c r="N21" s="17" t="str" cm="1">
        <f t="array" aca="1" ref="N21" ca="1">_xlfn.LET(_xlpm.value, OFFSET(INDIRECT(ADDRESS(ROW(),COLUMN())),0,-2), IF(_xlpm.value="","",_xlpm.value))</f>
        <v/>
      </c>
      <c r="O21" s="17" t="str">
        <f ca="1">IFERROR(ROUND(AVERAGEIFS(vRG_1[Root Length per Day (mm/day)],vRG_1[Seed],vRG_2[[#This Row],[Seed]], vRG_1[Fertilizer Added (g)], vRG_2[[#This Row],[Fertilizer Added (g)]]), 2), "")</f>
        <v/>
      </c>
    </row>
    <row r="22" spans="1:15">
      <c r="A22" t="str" cm="1">
        <f t="array" ref="A22">_xlfn.LET(
    _xlpm.value, INDEX(Growing[Seeding Jar], ROW()-ROW(Growing[#Headers])),
    IF(_xlpm.value="", "", _xlpm.value)
)</f>
        <v>12</v>
      </c>
      <c r="B22" t="e">
        <f>IF(vRG_1[[#This Row],[Seeding Jar]]="", "", VALUE( _xlfn.XLOOKUP(SUBSTITUTE(vRG_1[[#This Row],[Seeding Jar]], "*", ""), Jars[Jar],#REF!)))</f>
        <v>#REF!</v>
      </c>
      <c r="C22" t="str">
        <f>TRIM(Growing[[#This Row],[Seed]])</f>
        <v>3057JP.65</v>
      </c>
      <c r="D22" t="str">
        <f>IF(Growing[[#This Row],[Date Seeded]]="", "", TEXT(Growing[[#This Row],[Date Seeded]], "YYYY-MM-dd"))</f>
        <v>Unknown</v>
      </c>
      <c r="E22" t="str">
        <f>IF(Growing[[#This Row],[Transplant Date]]="", "", TEXT(Growing[[#This Row],[Transplant Date]], "YYYY-MM-dd"))</f>
        <v>None</v>
      </c>
      <c r="F22" t="str">
        <f>IF(Growing[[#This Row],[Transplant Root Length (mm)]]="", "", IFERROR(VALUE(Growing[[#This Row],[Transplant Root Length (mm)]]), ""))</f>
        <v/>
      </c>
      <c r="G22" t="str">
        <f>IFERROR(VALUE(DATEVALUE(vRG_1[[#This Row],[Transplant Date]])-DATEVALUE(vRG_1[[#This Row],[Date Seeded]])), "")</f>
        <v/>
      </c>
      <c r="H22" t="str">
        <f>IFERROR(ROUND(vRG_1[[#This Row],[Transplant Root Length (mm)]]/vRG_1[[#This Row],[Days Between]], 2), "")</f>
        <v/>
      </c>
      <c r="I22">
        <f>IF(AND(ISNUMBER(vRG_1[[#This Row],[Transplant Root Length (mm)]]),ISNUMBER(vRG_1[[#This Row],[Days Between]]),vRG_1[[#This Row],[Days Between]]&gt;0,ISNUMBER(vRG_1[[#This Row],[Fertilizer Added (g)]])), 1, 0)</f>
        <v>0</v>
      </c>
      <c r="M22" s="17" t="str" cm="1">
        <f t="array" aca="1" ref="M22" ca="1">_xlfn.LET(_xlpm.value, OFFSET(INDIRECT(ADDRESS(ROW(),COLUMN())),0,-2), IF(_xlpm.value="","",_xlpm.value))</f>
        <v/>
      </c>
      <c r="N22" s="17" t="str" cm="1">
        <f t="array" aca="1" ref="N22" ca="1">_xlfn.LET(_xlpm.value, OFFSET(INDIRECT(ADDRESS(ROW(),COLUMN())),0,-2), IF(_xlpm.value="","",_xlpm.value))</f>
        <v/>
      </c>
      <c r="O22" s="17" t="str">
        <f ca="1">IFERROR(ROUND(AVERAGEIFS(vRG_1[Root Length per Day (mm/day)],vRG_1[Seed],vRG_2[[#This Row],[Seed]], vRG_1[Fertilizer Added (g)], vRG_2[[#This Row],[Fertilizer Added (g)]]), 2), "")</f>
        <v/>
      </c>
    </row>
    <row r="23" spans="1:15">
      <c r="A23" t="str" cm="1">
        <f t="array" ref="A23">_xlfn.LET(
    _xlpm.value, INDEX(Growing[Seeding Jar], ROW()-ROW(Growing[#Headers])),
    IF(_xlpm.value="", "", _xlpm.value)
)</f>
        <v>13</v>
      </c>
      <c r="B23" t="e">
        <f>IF(vRG_1[[#This Row],[Seeding Jar]]="", "", VALUE( _xlfn.XLOOKUP(SUBSTITUTE(vRG_1[[#This Row],[Seeding Jar]], "*", ""), Jars[Jar],#REF!)))</f>
        <v>#REF!</v>
      </c>
      <c r="C23" t="str">
        <f>TRIM(Growing[[#This Row],[Seed]])</f>
        <v>3057JP.65</v>
      </c>
      <c r="D23" t="str">
        <f>IF(Growing[[#This Row],[Date Seeded]]="", "", TEXT(Growing[[#This Row],[Date Seeded]], "YYYY-MM-dd"))</f>
        <v>Unknown</v>
      </c>
      <c r="E23" t="str">
        <f>IF(Growing[[#This Row],[Transplant Date]]="", "", TEXT(Growing[[#This Row],[Transplant Date]], "YYYY-MM-dd"))</f>
        <v>None</v>
      </c>
      <c r="F23" t="str">
        <f>IF(Growing[[#This Row],[Transplant Root Length (mm)]]="", "", IFERROR(VALUE(Growing[[#This Row],[Transplant Root Length (mm)]]), ""))</f>
        <v/>
      </c>
      <c r="G23" t="str">
        <f>IFERROR(VALUE(DATEVALUE(vRG_1[[#This Row],[Transplant Date]])-DATEVALUE(vRG_1[[#This Row],[Date Seeded]])), "")</f>
        <v/>
      </c>
      <c r="H23" t="str">
        <f>IFERROR(ROUND(vRG_1[[#This Row],[Transplant Root Length (mm)]]/vRG_1[[#This Row],[Days Between]], 2), "")</f>
        <v/>
      </c>
      <c r="I23">
        <f>IF(AND(ISNUMBER(vRG_1[[#This Row],[Transplant Root Length (mm)]]),ISNUMBER(vRG_1[[#This Row],[Days Between]]),vRG_1[[#This Row],[Days Between]]&gt;0,ISNUMBER(vRG_1[[#This Row],[Fertilizer Added (g)]])), 1, 0)</f>
        <v>0</v>
      </c>
      <c r="M23" s="17" t="str" cm="1">
        <f t="array" aca="1" ref="M23" ca="1">_xlfn.LET(_xlpm.value, OFFSET(INDIRECT(ADDRESS(ROW(),COLUMN())),0,-2), IF(_xlpm.value="","",_xlpm.value))</f>
        <v/>
      </c>
      <c r="N23" s="17" t="str" cm="1">
        <f t="array" aca="1" ref="N23" ca="1">_xlfn.LET(_xlpm.value, OFFSET(INDIRECT(ADDRESS(ROW(),COLUMN())),0,-2), IF(_xlpm.value="","",_xlpm.value))</f>
        <v/>
      </c>
      <c r="O23" s="17" t="str">
        <f ca="1">IFERROR(ROUND(AVERAGEIFS(vRG_1[Root Length per Day (mm/day)],vRG_1[Seed],vRG_2[[#This Row],[Seed]], vRG_1[Fertilizer Added (g)], vRG_2[[#This Row],[Fertilizer Added (g)]]), 2), "")</f>
        <v/>
      </c>
    </row>
    <row r="24" spans="1:15">
      <c r="A24" t="str" cm="1">
        <f t="array" ref="A24">_xlfn.LET(
    _xlpm.value, INDEX(Growing[Seeding Jar], ROW()-ROW(Growing[#Headers])),
    IF(_xlpm.value="", "", _xlpm.value)
)</f>
        <v>14</v>
      </c>
      <c r="B24" t="e">
        <f>IF(vRG_1[[#This Row],[Seeding Jar]]="", "", VALUE( _xlfn.XLOOKUP(SUBSTITUTE(vRG_1[[#This Row],[Seeding Jar]], "*", ""), Jars[Jar],#REF!)))</f>
        <v>#REF!</v>
      </c>
      <c r="C24" t="str">
        <f>TRIM(Growing[[#This Row],[Seed]])</f>
        <v>3059JP.65</v>
      </c>
      <c r="D24" t="str">
        <f>IF(Growing[[#This Row],[Date Seeded]]="", "", TEXT(Growing[[#This Row],[Date Seeded]], "YYYY-MM-dd"))</f>
        <v>Unknown</v>
      </c>
      <c r="E24" t="str">
        <f>IF(Growing[[#This Row],[Transplant Date]]="", "", TEXT(Growing[[#This Row],[Transplant Date]], "YYYY-MM-dd"))</f>
        <v>None</v>
      </c>
      <c r="F24" t="str">
        <f>IF(Growing[[#This Row],[Transplant Root Length (mm)]]="", "", IFERROR(VALUE(Growing[[#This Row],[Transplant Root Length (mm)]]), ""))</f>
        <v/>
      </c>
      <c r="G24" t="str">
        <f>IFERROR(VALUE(DATEVALUE(vRG_1[[#This Row],[Transplant Date]])-DATEVALUE(vRG_1[[#This Row],[Date Seeded]])), "")</f>
        <v/>
      </c>
      <c r="H24" t="str">
        <f>IFERROR(ROUND(vRG_1[[#This Row],[Transplant Root Length (mm)]]/vRG_1[[#This Row],[Days Between]], 2), "")</f>
        <v/>
      </c>
      <c r="I24">
        <f>IF(AND(ISNUMBER(vRG_1[[#This Row],[Transplant Root Length (mm)]]),ISNUMBER(vRG_1[[#This Row],[Days Between]]),vRG_1[[#This Row],[Days Between]]&gt;0,ISNUMBER(vRG_1[[#This Row],[Fertilizer Added (g)]])), 1, 0)</f>
        <v>0</v>
      </c>
      <c r="M24" s="17" t="str" cm="1">
        <f t="array" aca="1" ref="M24" ca="1">_xlfn.LET(_xlpm.value, OFFSET(INDIRECT(ADDRESS(ROW(),COLUMN())),0,-2), IF(_xlpm.value="","",_xlpm.value))</f>
        <v/>
      </c>
      <c r="N24" s="17" t="str" cm="1">
        <f t="array" aca="1" ref="N24" ca="1">_xlfn.LET(_xlpm.value, OFFSET(INDIRECT(ADDRESS(ROW(),COLUMN())),0,-2), IF(_xlpm.value="","",_xlpm.value))</f>
        <v/>
      </c>
      <c r="O24" s="17" t="str">
        <f ca="1">IFERROR(ROUND(AVERAGEIFS(vRG_1[Root Length per Day (mm/day)],vRG_1[Seed],vRG_2[[#This Row],[Seed]], vRG_1[Fertilizer Added (g)], vRG_2[[#This Row],[Fertilizer Added (g)]]), 2), "")</f>
        <v/>
      </c>
    </row>
    <row r="25" spans="1:15">
      <c r="A25" t="str" cm="1">
        <f t="array" ref="A25">_xlfn.LET(
    _xlpm.value, INDEX(Growing[Seeding Jar], ROW()-ROW(Growing[#Headers])),
    IF(_xlpm.value="", "", _xlpm.value)
)</f>
        <v>15</v>
      </c>
      <c r="B25" t="e">
        <f>IF(vRG_1[[#This Row],[Seeding Jar]]="", "", VALUE( _xlfn.XLOOKUP(SUBSTITUTE(vRG_1[[#This Row],[Seeding Jar]], "*", ""), Jars[Jar],#REF!)))</f>
        <v>#REF!</v>
      </c>
      <c r="C25" t="str">
        <f>TRIM(Growing[[#This Row],[Seed]])</f>
        <v>2178GP.53</v>
      </c>
      <c r="D25" t="str">
        <f>IF(Growing[[#This Row],[Date Seeded]]="", "", TEXT(Growing[[#This Row],[Date Seeded]], "YYYY-MM-dd"))</f>
        <v>Unknown</v>
      </c>
      <c r="E25" t="str">
        <f>IF(Growing[[#This Row],[Transplant Date]]="", "", TEXT(Growing[[#This Row],[Transplant Date]], "YYYY-MM-dd"))</f>
        <v>None</v>
      </c>
      <c r="F25" t="str">
        <f>IF(Growing[[#This Row],[Transplant Root Length (mm)]]="", "", IFERROR(VALUE(Growing[[#This Row],[Transplant Root Length (mm)]]), ""))</f>
        <v/>
      </c>
      <c r="G25" t="str">
        <f>IFERROR(VALUE(DATEVALUE(vRG_1[[#This Row],[Transplant Date]])-DATEVALUE(vRG_1[[#This Row],[Date Seeded]])), "")</f>
        <v/>
      </c>
      <c r="H25" t="str">
        <f>IFERROR(ROUND(vRG_1[[#This Row],[Transplant Root Length (mm)]]/vRG_1[[#This Row],[Days Between]], 2), "")</f>
        <v/>
      </c>
      <c r="I25">
        <f>IF(AND(ISNUMBER(vRG_1[[#This Row],[Transplant Root Length (mm)]]),ISNUMBER(vRG_1[[#This Row],[Days Between]]),vRG_1[[#This Row],[Days Between]]&gt;0,ISNUMBER(vRG_1[[#This Row],[Fertilizer Added (g)]])), 1, 0)</f>
        <v>0</v>
      </c>
      <c r="M25" s="17" t="str" cm="1">
        <f t="array" aca="1" ref="M25" ca="1">_xlfn.LET(_xlpm.value, OFFSET(INDIRECT(ADDRESS(ROW(),COLUMN())),0,-2), IF(_xlpm.value="","",_xlpm.value))</f>
        <v/>
      </c>
      <c r="N25" s="17" t="str" cm="1">
        <f t="array" aca="1" ref="N25" ca="1">_xlfn.LET(_xlpm.value, OFFSET(INDIRECT(ADDRESS(ROW(),COLUMN())),0,-2), IF(_xlpm.value="","",_xlpm.value))</f>
        <v/>
      </c>
      <c r="O25" s="17" t="str">
        <f ca="1">IFERROR(ROUND(AVERAGEIFS(vRG_1[Root Length per Day (mm/day)],vRG_1[Seed],vRG_2[[#This Row],[Seed]], vRG_1[Fertilizer Added (g)], vRG_2[[#This Row],[Fertilizer Added (g)]]), 2), "")</f>
        <v/>
      </c>
    </row>
    <row r="26" spans="1:15">
      <c r="A26" t="str" cm="1">
        <f t="array" ref="A26">_xlfn.LET(
    _xlpm.value, INDEX(Growing[Seeding Jar], ROW()-ROW(Growing[#Headers])),
    IF(_xlpm.value="", "", _xlpm.value)
)</f>
        <v>16</v>
      </c>
      <c r="B26" t="e">
        <f>IF(vRG_1[[#This Row],[Seeding Jar]]="", "", VALUE( _xlfn.XLOOKUP(SUBSTITUTE(vRG_1[[#This Row],[Seeding Jar]], "*", ""), Jars[Jar],#REF!)))</f>
        <v>#REF!</v>
      </c>
      <c r="C26" t="str">
        <f>TRIM(Growing[[#This Row],[Seed]])</f>
        <v>2178GP.53</v>
      </c>
      <c r="D26" t="str">
        <f>IF(Growing[[#This Row],[Date Seeded]]="", "", TEXT(Growing[[#This Row],[Date Seeded]], "YYYY-MM-dd"))</f>
        <v>Unknown</v>
      </c>
      <c r="E26" t="str">
        <f>IF(Growing[[#This Row],[Transplant Date]]="", "", TEXT(Growing[[#This Row],[Transplant Date]], "YYYY-MM-dd"))</f>
        <v>None</v>
      </c>
      <c r="F26" t="str">
        <f>IF(Growing[[#This Row],[Transplant Root Length (mm)]]="", "", IFERROR(VALUE(Growing[[#This Row],[Transplant Root Length (mm)]]), ""))</f>
        <v/>
      </c>
      <c r="G26" t="str">
        <f>IFERROR(VALUE(DATEVALUE(vRG_1[[#This Row],[Transplant Date]])-DATEVALUE(vRG_1[[#This Row],[Date Seeded]])), "")</f>
        <v/>
      </c>
      <c r="H26" t="str">
        <f>IFERROR(ROUND(vRG_1[[#This Row],[Transplant Root Length (mm)]]/vRG_1[[#This Row],[Days Between]], 2), "")</f>
        <v/>
      </c>
      <c r="I26">
        <f>IF(AND(ISNUMBER(vRG_1[[#This Row],[Transplant Root Length (mm)]]),ISNUMBER(vRG_1[[#This Row],[Days Between]]),vRG_1[[#This Row],[Days Between]]&gt;0,ISNUMBER(vRG_1[[#This Row],[Fertilizer Added (g)]])), 1, 0)</f>
        <v>0</v>
      </c>
      <c r="M26" s="17" t="str" cm="1">
        <f t="array" aca="1" ref="M26" ca="1">_xlfn.LET(_xlpm.value, OFFSET(INDIRECT(ADDRESS(ROW(),COLUMN())),0,-2), IF(_xlpm.value="","",_xlpm.value))</f>
        <v/>
      </c>
      <c r="N26" s="17" t="str" cm="1">
        <f t="array" aca="1" ref="N26" ca="1">_xlfn.LET(_xlpm.value, OFFSET(INDIRECT(ADDRESS(ROW(),COLUMN())),0,-2), IF(_xlpm.value="","",_xlpm.value))</f>
        <v/>
      </c>
      <c r="O26" s="17" t="str">
        <f ca="1">IFERROR(ROUND(AVERAGEIFS(vRG_1[Root Length per Day (mm/day)],vRG_1[Seed],vRG_2[[#This Row],[Seed]], vRG_1[Fertilizer Added (g)], vRG_2[[#This Row],[Fertilizer Added (g)]]), 2), "")</f>
        <v/>
      </c>
    </row>
    <row r="27" spans="1:15">
      <c r="A27" t="str" cm="1">
        <f t="array" ref="A27">_xlfn.LET(
    _xlpm.value, INDEX(Growing[Seeding Jar], ROW()-ROW(Growing[#Headers])),
    IF(_xlpm.value="", "", _xlpm.value)
)</f>
        <v>17</v>
      </c>
      <c r="B27" t="e">
        <f>IF(vRG_1[[#This Row],[Seeding Jar]]="", "", VALUE( _xlfn.XLOOKUP(SUBSTITUTE(vRG_1[[#This Row],[Seeding Jar]], "*", ""), Jars[Jar],#REF!)))</f>
        <v>#REF!</v>
      </c>
      <c r="C27" t="str">
        <f>TRIM(Growing[[#This Row],[Seed]])</f>
        <v>2178GP.53</v>
      </c>
      <c r="D27" t="str">
        <f>IF(Growing[[#This Row],[Date Seeded]]="", "", TEXT(Growing[[#This Row],[Date Seeded]], "YYYY-MM-dd"))</f>
        <v>Unknown</v>
      </c>
      <c r="E27" t="str">
        <f>IF(Growing[[#This Row],[Transplant Date]]="", "", TEXT(Growing[[#This Row],[Transplant Date]], "YYYY-MM-dd"))</f>
        <v>None</v>
      </c>
      <c r="F27" t="str">
        <f>IF(Growing[[#This Row],[Transplant Root Length (mm)]]="", "", IFERROR(VALUE(Growing[[#This Row],[Transplant Root Length (mm)]]), ""))</f>
        <v/>
      </c>
      <c r="G27" t="str">
        <f>IFERROR(VALUE(DATEVALUE(vRG_1[[#This Row],[Transplant Date]])-DATEVALUE(vRG_1[[#This Row],[Date Seeded]])), "")</f>
        <v/>
      </c>
      <c r="H27" t="str">
        <f>IFERROR(ROUND(vRG_1[[#This Row],[Transplant Root Length (mm)]]/vRG_1[[#This Row],[Days Between]], 2), "")</f>
        <v/>
      </c>
      <c r="I27">
        <f>IF(AND(ISNUMBER(vRG_1[[#This Row],[Transplant Root Length (mm)]]),ISNUMBER(vRG_1[[#This Row],[Days Between]]),vRG_1[[#This Row],[Days Between]]&gt;0,ISNUMBER(vRG_1[[#This Row],[Fertilizer Added (g)]])), 1, 0)</f>
        <v>0</v>
      </c>
      <c r="M27" s="17" t="str" cm="1">
        <f t="array" aca="1" ref="M27" ca="1">_xlfn.LET(_xlpm.value, OFFSET(INDIRECT(ADDRESS(ROW(),COLUMN())),0,-2), IF(_xlpm.value="","",_xlpm.value))</f>
        <v/>
      </c>
      <c r="N27" s="17" t="str" cm="1">
        <f t="array" aca="1" ref="N27" ca="1">_xlfn.LET(_xlpm.value, OFFSET(INDIRECT(ADDRESS(ROW(),COLUMN())),0,-2), IF(_xlpm.value="","",_xlpm.value))</f>
        <v/>
      </c>
      <c r="O27" s="17" t="str">
        <f ca="1">IFERROR(ROUND(AVERAGEIFS(vRG_1[Root Length per Day (mm/day)],vRG_1[Seed],vRG_2[[#This Row],[Seed]], vRG_1[Fertilizer Added (g)], vRG_2[[#This Row],[Fertilizer Added (g)]]), 2), "")</f>
        <v/>
      </c>
    </row>
    <row r="28" spans="1:15">
      <c r="A28" t="str" cm="1">
        <f t="array" ref="A28">_xlfn.LET(
    _xlpm.value, INDEX(Growing[Seeding Jar], ROW()-ROW(Growing[#Headers])),
    IF(_xlpm.value="", "", _xlpm.value)
)</f>
        <v>22</v>
      </c>
      <c r="B28" t="e">
        <f>IF(vRG_1[[#This Row],[Seeding Jar]]="", "", VALUE( _xlfn.XLOOKUP(SUBSTITUTE(vRG_1[[#This Row],[Seeding Jar]], "*", ""), Jars[Jar],#REF!)))</f>
        <v>#REF!</v>
      </c>
      <c r="C28" t="str">
        <f>TRIM(Growing[[#This Row],[Seed]])</f>
        <v>2178GP.53</v>
      </c>
      <c r="D28" t="str">
        <f>IF(Growing[[#This Row],[Date Seeded]]="", "", TEXT(Growing[[#This Row],[Date Seeded]], "YYYY-MM-dd"))</f>
        <v>2026-08-28</v>
      </c>
      <c r="E28" t="str">
        <f>IF(Growing[[#This Row],[Transplant Date]]="", "", TEXT(Growing[[#This Row],[Transplant Date]], "YYYY-MM-dd"))</f>
        <v>None</v>
      </c>
      <c r="F28" t="str">
        <f>IF(Growing[[#This Row],[Transplant Root Length (mm)]]="", "", IFERROR(VALUE(Growing[[#This Row],[Transplant Root Length (mm)]]), ""))</f>
        <v/>
      </c>
      <c r="G28" t="str">
        <f>IFERROR(VALUE(DATEVALUE(vRG_1[[#This Row],[Transplant Date]])-DATEVALUE(vRG_1[[#This Row],[Date Seeded]])), "")</f>
        <v/>
      </c>
      <c r="H28" t="str">
        <f>IFERROR(ROUND(vRG_1[[#This Row],[Transplant Root Length (mm)]]/vRG_1[[#This Row],[Days Between]], 2), "")</f>
        <v/>
      </c>
      <c r="I28">
        <f>IF(AND(ISNUMBER(vRG_1[[#This Row],[Transplant Root Length (mm)]]),ISNUMBER(vRG_1[[#This Row],[Days Between]]),vRG_1[[#This Row],[Days Between]]&gt;0,ISNUMBER(vRG_1[[#This Row],[Fertilizer Added (g)]])), 1, 0)</f>
        <v>0</v>
      </c>
      <c r="M28" s="17" t="str" cm="1">
        <f t="array" aca="1" ref="M28" ca="1">_xlfn.LET(_xlpm.value, OFFSET(INDIRECT(ADDRESS(ROW(),COLUMN())),0,-2), IF(_xlpm.value="","",_xlpm.value))</f>
        <v/>
      </c>
      <c r="N28" s="17" t="str" cm="1">
        <f t="array" aca="1" ref="N28" ca="1">_xlfn.LET(_xlpm.value, OFFSET(INDIRECT(ADDRESS(ROW(),COLUMN())),0,-2), IF(_xlpm.value="","",_xlpm.value))</f>
        <v/>
      </c>
      <c r="O28" s="17" t="str">
        <f ca="1">IFERROR(ROUND(AVERAGEIFS(vRG_1[Root Length per Day (mm/day)],vRG_1[Seed],vRG_2[[#This Row],[Seed]], vRG_1[Fertilizer Added (g)], vRG_2[[#This Row],[Fertilizer Added (g)]]), 2), "")</f>
        <v/>
      </c>
    </row>
    <row r="29" spans="1:15">
      <c r="A29" t="str" cm="1">
        <f t="array" ref="A29">_xlfn.LET(
    _xlpm.value, INDEX(Growing[Seeding Jar], ROW()-ROW(Growing[#Headers])),
    IF(_xlpm.value="", "", _xlpm.value)
)</f>
        <v>23</v>
      </c>
      <c r="B29" t="e">
        <f>IF(vRG_1[[#This Row],[Seeding Jar]]="", "", VALUE( _xlfn.XLOOKUP(SUBSTITUTE(vRG_1[[#This Row],[Seeding Jar]], "*", ""), Jars[Jar],#REF!)))</f>
        <v>#REF!</v>
      </c>
      <c r="C29" t="str">
        <f>TRIM(Growing[[#This Row],[Seed]])</f>
        <v>2178GP.53</v>
      </c>
      <c r="D29" t="str">
        <f>IF(Growing[[#This Row],[Date Seeded]]="", "", TEXT(Growing[[#This Row],[Date Seeded]], "YYYY-MM-dd"))</f>
        <v>2026-08-28</v>
      </c>
      <c r="E29" t="str">
        <f>IF(Growing[[#This Row],[Transplant Date]]="", "", TEXT(Growing[[#This Row],[Transplant Date]], "YYYY-MM-dd"))</f>
        <v>2026-09-08</v>
      </c>
      <c r="F29" t="str">
        <f>IF(Growing[[#This Row],[Transplant Root Length (mm)]]="", "", IFERROR(VALUE(Growing[[#This Row],[Transplant Root Length (mm)]]), ""))</f>
        <v/>
      </c>
      <c r="G29">
        <f>IFERROR(VALUE(DATEVALUE(vRG_1[[#This Row],[Transplant Date]])-DATEVALUE(vRG_1[[#This Row],[Date Seeded]])), "")</f>
        <v>11</v>
      </c>
      <c r="H29" t="str">
        <f>IFERROR(ROUND(vRG_1[[#This Row],[Transplant Root Length (mm)]]/vRG_1[[#This Row],[Days Between]], 2), "")</f>
        <v/>
      </c>
      <c r="I29">
        <f>IF(AND(ISNUMBER(vRG_1[[#This Row],[Transplant Root Length (mm)]]),ISNUMBER(vRG_1[[#This Row],[Days Between]]),vRG_1[[#This Row],[Days Between]]&gt;0,ISNUMBER(vRG_1[[#This Row],[Fertilizer Added (g)]])), 1, 0)</f>
        <v>0</v>
      </c>
      <c r="M29" s="17" t="str" cm="1">
        <f t="array" aca="1" ref="M29" ca="1">_xlfn.LET(_xlpm.value, OFFSET(INDIRECT(ADDRESS(ROW(),COLUMN())),0,-2), IF(_xlpm.value="","",_xlpm.value))</f>
        <v/>
      </c>
      <c r="N29" s="17" t="str" cm="1">
        <f t="array" aca="1" ref="N29" ca="1">_xlfn.LET(_xlpm.value, OFFSET(INDIRECT(ADDRESS(ROW(),COLUMN())),0,-2), IF(_xlpm.value="","",_xlpm.value))</f>
        <v/>
      </c>
      <c r="O29" s="17" t="str">
        <f ca="1">IFERROR(ROUND(AVERAGEIFS(vRG_1[Root Length per Day (mm/day)],vRG_1[Seed],vRG_2[[#This Row],[Seed]], vRG_1[Fertilizer Added (g)], vRG_2[[#This Row],[Fertilizer Added (g)]]), 2), "")</f>
        <v/>
      </c>
    </row>
    <row r="30" spans="1:15">
      <c r="A30" t="str" cm="1">
        <f t="array" ref="A30">_xlfn.LET(
    _xlpm.value, INDEX(Growing[Seeding Jar], ROW()-ROW(Growing[#Headers])),
    IF(_xlpm.value="", "", _xlpm.value)
)</f>
        <v>24</v>
      </c>
      <c r="B30" t="e">
        <f>IF(vRG_1[[#This Row],[Seeding Jar]]="", "", VALUE( _xlfn.XLOOKUP(SUBSTITUTE(vRG_1[[#This Row],[Seeding Jar]], "*", ""), Jars[Jar],#REF!)))</f>
        <v>#REF!</v>
      </c>
      <c r="C30" t="str">
        <f>TRIM(Growing[[#This Row],[Seed]])</f>
        <v>2178GP.53</v>
      </c>
      <c r="D30" t="str">
        <f>IF(Growing[[#This Row],[Date Seeded]]="", "", TEXT(Growing[[#This Row],[Date Seeded]], "YYYY-MM-dd"))</f>
        <v>2026-09-01</v>
      </c>
      <c r="E30" t="str">
        <f>IF(Growing[[#This Row],[Transplant Date]]="", "", TEXT(Growing[[#This Row],[Transplant Date]], "YYYY-MM-dd"))</f>
        <v>2026-09-11</v>
      </c>
      <c r="F30" t="str">
        <f>IF(Growing[[#This Row],[Transplant Root Length (mm)]]="", "", IFERROR(VALUE(Growing[[#This Row],[Transplant Root Length (mm)]]), ""))</f>
        <v/>
      </c>
      <c r="G30">
        <f>IFERROR(VALUE(DATEVALUE(vRG_1[[#This Row],[Transplant Date]])-DATEVALUE(vRG_1[[#This Row],[Date Seeded]])), "")</f>
        <v>10</v>
      </c>
      <c r="H30" t="str">
        <f>IFERROR(ROUND(vRG_1[[#This Row],[Transplant Root Length (mm)]]/vRG_1[[#This Row],[Days Between]], 2), "")</f>
        <v/>
      </c>
      <c r="I30">
        <f>IF(AND(ISNUMBER(vRG_1[[#This Row],[Transplant Root Length (mm)]]),ISNUMBER(vRG_1[[#This Row],[Days Between]]),vRG_1[[#This Row],[Days Between]]&gt;0,ISNUMBER(vRG_1[[#This Row],[Fertilizer Added (g)]])), 1, 0)</f>
        <v>0</v>
      </c>
      <c r="M30" s="17" t="str" cm="1">
        <f t="array" aca="1" ref="M30" ca="1">_xlfn.LET(_xlpm.value, OFFSET(INDIRECT(ADDRESS(ROW(),COLUMN())),0,-2), IF(_xlpm.value="","",_xlpm.value))</f>
        <v/>
      </c>
      <c r="N30" s="17" t="str" cm="1">
        <f t="array" aca="1" ref="N30" ca="1">_xlfn.LET(_xlpm.value, OFFSET(INDIRECT(ADDRESS(ROW(),COLUMN())),0,-2), IF(_xlpm.value="","",_xlpm.value))</f>
        <v/>
      </c>
      <c r="O30" s="17" t="str">
        <f ca="1">IFERROR(ROUND(AVERAGEIFS(vRG_1[Root Length per Day (mm/day)],vRG_1[Seed],vRG_2[[#This Row],[Seed]], vRG_1[Fertilizer Added (g)], vRG_2[[#This Row],[Fertilizer Added (g)]]), 2), "")</f>
        <v/>
      </c>
    </row>
    <row r="31" spans="1:15">
      <c r="A31" t="str" cm="1">
        <f t="array" ref="A31">_xlfn.LET(
    _xlpm.value, INDEX(Growing[Seeding Jar], ROW()-ROW(Growing[#Headers])),
    IF(_xlpm.value="", "", _xlpm.value)
)</f>
        <v>25</v>
      </c>
      <c r="B31" t="e">
        <f>IF(vRG_1[[#This Row],[Seeding Jar]]="", "", VALUE( _xlfn.XLOOKUP(SUBSTITUTE(vRG_1[[#This Row],[Seeding Jar]], "*", ""), Jars[Jar],#REF!)))</f>
        <v>#REF!</v>
      </c>
      <c r="C31" t="str">
        <f>TRIM(Growing[[#This Row],[Seed]])</f>
        <v>2178GP.53</v>
      </c>
      <c r="D31" t="str">
        <f>IF(Growing[[#This Row],[Date Seeded]]="", "", TEXT(Growing[[#This Row],[Date Seeded]], "YYYY-MM-dd"))</f>
        <v>2026-09-04</v>
      </c>
      <c r="E31" t="str">
        <f>IF(Growing[[#This Row],[Transplant Date]]="", "", TEXT(Growing[[#This Row],[Transplant Date]], "YYYY-MM-dd"))</f>
        <v>2026-09-14</v>
      </c>
      <c r="F31" t="str">
        <f>IF(Growing[[#This Row],[Transplant Root Length (mm)]]="", "", IFERROR(VALUE(Growing[[#This Row],[Transplant Root Length (mm)]]), ""))</f>
        <v/>
      </c>
      <c r="G31">
        <f>IFERROR(VALUE(DATEVALUE(vRG_1[[#This Row],[Transplant Date]])-DATEVALUE(vRG_1[[#This Row],[Date Seeded]])), "")</f>
        <v>10</v>
      </c>
      <c r="H31" t="str">
        <f>IFERROR(ROUND(vRG_1[[#This Row],[Transplant Root Length (mm)]]/vRG_1[[#This Row],[Days Between]], 2), "")</f>
        <v/>
      </c>
      <c r="I31">
        <f>IF(AND(ISNUMBER(vRG_1[[#This Row],[Transplant Root Length (mm)]]),ISNUMBER(vRG_1[[#This Row],[Days Between]]),vRG_1[[#This Row],[Days Between]]&gt;0,ISNUMBER(vRG_1[[#This Row],[Fertilizer Added (g)]])), 1, 0)</f>
        <v>0</v>
      </c>
      <c r="M31" s="17" t="str" cm="1">
        <f t="array" aca="1" ref="M31" ca="1">_xlfn.LET(_xlpm.value, OFFSET(INDIRECT(ADDRESS(ROW(),COLUMN())),0,-2), IF(_xlpm.value="","",_xlpm.value))</f>
        <v/>
      </c>
      <c r="N31" s="17" t="str" cm="1">
        <f t="array" aca="1" ref="N31" ca="1">_xlfn.LET(_xlpm.value, OFFSET(INDIRECT(ADDRESS(ROW(),COLUMN())),0,-2), IF(_xlpm.value="","",_xlpm.value))</f>
        <v/>
      </c>
      <c r="O31" s="17" t="str">
        <f ca="1">IFERROR(ROUND(AVERAGEIFS(vRG_1[Root Length per Day (mm/day)],vRG_1[Seed],vRG_2[[#This Row],[Seed]], vRG_1[Fertilizer Added (g)], vRG_2[[#This Row],[Fertilizer Added (g)]]), 2), "")</f>
        <v/>
      </c>
    </row>
    <row r="32" spans="1:15">
      <c r="A32" t="str" cm="1">
        <f t="array" ref="A32">_xlfn.LET(
    _xlpm.value, INDEX(Growing[Seeding Jar], ROW()-ROW(Growing[#Headers])),
    IF(_xlpm.value="", "", _xlpm.value)
)</f>
        <v>26</v>
      </c>
      <c r="B32" t="e">
        <f>IF(vRG_1[[#This Row],[Seeding Jar]]="", "", VALUE( _xlfn.XLOOKUP(SUBSTITUTE(vRG_1[[#This Row],[Seeding Jar]], "*", ""), Jars[Jar],#REF!)))</f>
        <v>#REF!</v>
      </c>
      <c r="C32" t="str">
        <f>TRIM(Growing[[#This Row],[Seed]])</f>
        <v>2178GP.53</v>
      </c>
      <c r="D32" t="str">
        <f>IF(Growing[[#This Row],[Date Seeded]]="", "", TEXT(Growing[[#This Row],[Date Seeded]], "YYYY-MM-dd"))</f>
        <v>2026-09-04</v>
      </c>
      <c r="E32" t="str">
        <f>IF(Growing[[#This Row],[Transplant Date]]="", "", TEXT(Growing[[#This Row],[Transplant Date]], "YYYY-MM-dd"))</f>
        <v>None</v>
      </c>
      <c r="F32" t="str">
        <f>IF(Growing[[#This Row],[Transplant Root Length (mm)]]="", "", IFERROR(VALUE(Growing[[#This Row],[Transplant Root Length (mm)]]), ""))</f>
        <v/>
      </c>
      <c r="G32" t="str">
        <f>IFERROR(VALUE(DATEVALUE(vRG_1[[#This Row],[Transplant Date]])-DATEVALUE(vRG_1[[#This Row],[Date Seeded]])), "")</f>
        <v/>
      </c>
      <c r="H32" t="str">
        <f>IFERROR(ROUND(vRG_1[[#This Row],[Transplant Root Length (mm)]]/vRG_1[[#This Row],[Days Between]], 2), "")</f>
        <v/>
      </c>
      <c r="I32">
        <f>IF(AND(ISNUMBER(vRG_1[[#This Row],[Transplant Root Length (mm)]]),ISNUMBER(vRG_1[[#This Row],[Days Between]]),vRG_1[[#This Row],[Days Between]]&gt;0,ISNUMBER(vRG_1[[#This Row],[Fertilizer Added (g)]])), 1, 0)</f>
        <v>0</v>
      </c>
      <c r="M32" s="17" t="str" cm="1">
        <f t="array" aca="1" ref="M32" ca="1">_xlfn.LET(_xlpm.value, OFFSET(INDIRECT(ADDRESS(ROW(),COLUMN())),0,-2), IF(_xlpm.value="","",_xlpm.value))</f>
        <v/>
      </c>
      <c r="N32" s="17" t="str" cm="1">
        <f t="array" aca="1" ref="N32" ca="1">_xlfn.LET(_xlpm.value, OFFSET(INDIRECT(ADDRESS(ROW(),COLUMN())),0,-2), IF(_xlpm.value="","",_xlpm.value))</f>
        <v/>
      </c>
      <c r="O32" s="17" t="str">
        <f ca="1">IFERROR(ROUND(AVERAGEIFS(vRG_1[Root Length per Day (mm/day)],vRG_1[Seed],vRG_2[[#This Row],[Seed]], vRG_1[Fertilizer Added (g)], vRG_2[[#This Row],[Fertilizer Added (g)]]), 2), "")</f>
        <v/>
      </c>
    </row>
    <row r="33" spans="1:15">
      <c r="A33" t="str" cm="1">
        <f t="array" ref="A33">_xlfn.LET(
    _xlpm.value, INDEX(Growing[Seeding Jar], ROW()-ROW(Growing[#Headers])),
    IF(_xlpm.value="", "", _xlpm.value)
)</f>
        <v>23*</v>
      </c>
      <c r="B33" t="e">
        <f>IF(vRG_1[[#This Row],[Seeding Jar]]="", "", VALUE( _xlfn.XLOOKUP(SUBSTITUTE(vRG_1[[#This Row],[Seeding Jar]], "*", ""), Jars[Jar],#REF!)))</f>
        <v>#REF!</v>
      </c>
      <c r="C33" t="str">
        <f>TRIM(Growing[[#This Row],[Seed]])</f>
        <v>2178GP.53</v>
      </c>
      <c r="D33" t="str">
        <f>IF(Growing[[#This Row],[Date Seeded]]="", "", TEXT(Growing[[#This Row],[Date Seeded]], "YYYY-MM-dd"))</f>
        <v>2026-09-08</v>
      </c>
      <c r="E33" t="str">
        <f>IF(Growing[[#This Row],[Transplant Date]]="", "", TEXT(Growing[[#This Row],[Transplant Date]], "YYYY-MM-dd"))</f>
        <v>2026-09-21</v>
      </c>
      <c r="F33">
        <f>IF(Growing[[#This Row],[Transplant Root Length (mm)]]="", "", IFERROR(VALUE(Growing[[#This Row],[Transplant Root Length (mm)]]), ""))</f>
        <v>100</v>
      </c>
      <c r="G33">
        <f>IFERROR(VALUE(DATEVALUE(vRG_1[[#This Row],[Transplant Date]])-DATEVALUE(vRG_1[[#This Row],[Date Seeded]])), "")</f>
        <v>13</v>
      </c>
      <c r="H33">
        <f>IFERROR(ROUND(vRG_1[[#This Row],[Transplant Root Length (mm)]]/vRG_1[[#This Row],[Days Between]], 2), "")</f>
        <v>7.69</v>
      </c>
      <c r="I33">
        <f>IF(AND(ISNUMBER(vRG_1[[#This Row],[Transplant Root Length (mm)]]),ISNUMBER(vRG_1[[#This Row],[Days Between]]),vRG_1[[#This Row],[Days Between]]&gt;0,ISNUMBER(vRG_1[[#This Row],[Fertilizer Added (g)]])), 1, 0)</f>
        <v>0</v>
      </c>
      <c r="M33" s="17" t="str" cm="1">
        <f t="array" aca="1" ref="M33" ca="1">_xlfn.LET(_xlpm.value, OFFSET(INDIRECT(ADDRESS(ROW(),COLUMN())),0,-2), IF(_xlpm.value="","",_xlpm.value))</f>
        <v/>
      </c>
      <c r="N33" s="17" t="str" cm="1">
        <f t="array" aca="1" ref="N33" ca="1">_xlfn.LET(_xlpm.value, OFFSET(INDIRECT(ADDRESS(ROW(),COLUMN())),0,-2), IF(_xlpm.value="","",_xlpm.value))</f>
        <v/>
      </c>
      <c r="O33" s="17" t="str">
        <f ca="1">IFERROR(ROUND(AVERAGEIFS(vRG_1[Root Length per Day (mm/day)],vRG_1[Seed],vRG_2[[#This Row],[Seed]], vRG_1[Fertilizer Added (g)], vRG_2[[#This Row],[Fertilizer Added (g)]]), 2), "")</f>
        <v/>
      </c>
    </row>
    <row r="34" spans="1:15">
      <c r="A34" t="str" cm="1">
        <f t="array" ref="A34">_xlfn.LET(
    _xlpm.value, INDEX(Growing[Seeding Jar], ROW()-ROW(Growing[#Headers])),
    IF(_xlpm.value="", "", _xlpm.value)
)</f>
        <v>32</v>
      </c>
      <c r="B34" t="e">
        <f>IF(vRG_1[[#This Row],[Seeding Jar]]="", "", VALUE( _xlfn.XLOOKUP(SUBSTITUTE(vRG_1[[#This Row],[Seeding Jar]], "*", ""), Jars[Jar],#REF!)))</f>
        <v>#REF!</v>
      </c>
      <c r="C34" t="str">
        <f>TRIM(Growing[[#This Row],[Seed]])</f>
        <v>2178GP.53</v>
      </c>
      <c r="D34" t="str">
        <f>IF(Growing[[#This Row],[Date Seeded]]="", "", TEXT(Growing[[#This Row],[Date Seeded]], "YYYY-MM-dd"))</f>
        <v>2026-09-11</v>
      </c>
      <c r="E34" t="str">
        <f>IF(Growing[[#This Row],[Transplant Date]]="", "", TEXT(Growing[[#This Row],[Transplant Date]], "YYYY-MM-dd"))</f>
        <v>2026-09-21</v>
      </c>
      <c r="F34">
        <f>IF(Growing[[#This Row],[Transplant Root Length (mm)]]="", "", IFERROR(VALUE(Growing[[#This Row],[Transplant Root Length (mm)]]), ""))</f>
        <v>50</v>
      </c>
      <c r="G34">
        <f>IFERROR(VALUE(DATEVALUE(vRG_1[[#This Row],[Transplant Date]])-DATEVALUE(vRG_1[[#This Row],[Date Seeded]])), "")</f>
        <v>10</v>
      </c>
      <c r="H34">
        <f>IFERROR(ROUND(vRG_1[[#This Row],[Transplant Root Length (mm)]]/vRG_1[[#This Row],[Days Between]], 2), "")</f>
        <v>5</v>
      </c>
      <c r="I34">
        <f>IF(AND(ISNUMBER(vRG_1[[#This Row],[Transplant Root Length (mm)]]),ISNUMBER(vRG_1[[#This Row],[Days Between]]),vRG_1[[#This Row],[Days Between]]&gt;0,ISNUMBER(vRG_1[[#This Row],[Fertilizer Added (g)]])), 1, 0)</f>
        <v>0</v>
      </c>
      <c r="M34" s="17" t="str" cm="1">
        <f t="array" aca="1" ref="M34" ca="1">_xlfn.LET(_xlpm.value, OFFSET(INDIRECT(ADDRESS(ROW(),COLUMN())),0,-2), IF(_xlpm.value="","",_xlpm.value))</f>
        <v/>
      </c>
      <c r="N34" s="17" t="str" cm="1">
        <f t="array" aca="1" ref="N34" ca="1">_xlfn.LET(_xlpm.value, OFFSET(INDIRECT(ADDRESS(ROW(),COLUMN())),0,-2), IF(_xlpm.value="","",_xlpm.value))</f>
        <v/>
      </c>
      <c r="O34" s="17" t="str">
        <f ca="1">IFERROR(ROUND(AVERAGEIFS(vRG_1[Root Length per Day (mm/day)],vRG_1[Seed],vRG_2[[#This Row],[Seed]], vRG_1[Fertilizer Added (g)], vRG_2[[#This Row],[Fertilizer Added (g)]]), 2), "")</f>
        <v/>
      </c>
    </row>
    <row r="35" spans="1:15">
      <c r="A35" t="str" cm="1">
        <f t="array" ref="A35">_xlfn.LET(
    _xlpm.value, INDEX(Growing[Seeding Jar], ROW()-ROW(Growing[#Headers])),
    IF(_xlpm.value="", "", _xlpm.value)
)</f>
        <v>25*</v>
      </c>
      <c r="B35" t="e">
        <f>IF(vRG_1[[#This Row],[Seeding Jar]]="", "", VALUE( _xlfn.XLOOKUP(SUBSTITUTE(vRG_1[[#This Row],[Seeding Jar]], "*", ""), Jars[Jar],#REF!)))</f>
        <v>#REF!</v>
      </c>
      <c r="C35" t="str">
        <f>TRIM(Growing[[#This Row],[Seed]])</f>
        <v>2178GP.53</v>
      </c>
      <c r="D35" t="str">
        <f>IF(Growing[[#This Row],[Date Seeded]]="", "", TEXT(Growing[[#This Row],[Date Seeded]], "YYYY-MM-dd"))</f>
        <v>2026-09-14</v>
      </c>
      <c r="E35" t="str">
        <f>IF(Growing[[#This Row],[Transplant Date]]="", "", TEXT(Growing[[#This Row],[Transplant Date]], "YYYY-MM-dd"))</f>
        <v>2026-09-22</v>
      </c>
      <c r="F35">
        <f>IF(Growing[[#This Row],[Transplant Root Length (mm)]]="", "", IFERROR(VALUE(Growing[[#This Row],[Transplant Root Length (mm)]]), ""))</f>
        <v>30</v>
      </c>
      <c r="G35">
        <f>IFERROR(VALUE(DATEVALUE(vRG_1[[#This Row],[Transplant Date]])-DATEVALUE(vRG_1[[#This Row],[Date Seeded]])), "")</f>
        <v>8</v>
      </c>
      <c r="H35">
        <f>IFERROR(ROUND(vRG_1[[#This Row],[Transplant Root Length (mm)]]/vRG_1[[#This Row],[Days Between]], 2), "")</f>
        <v>3.75</v>
      </c>
      <c r="I35">
        <f>IF(AND(ISNUMBER(vRG_1[[#This Row],[Transplant Root Length (mm)]]),ISNUMBER(vRG_1[[#This Row],[Days Between]]),vRG_1[[#This Row],[Days Between]]&gt;0,ISNUMBER(vRG_1[[#This Row],[Fertilizer Added (g)]])), 1, 0)</f>
        <v>0</v>
      </c>
      <c r="M35" s="17" t="str" cm="1">
        <f t="array" aca="1" ref="M35" ca="1">_xlfn.LET(_xlpm.value, OFFSET(INDIRECT(ADDRESS(ROW(),COLUMN())),0,-2), IF(_xlpm.value="","",_xlpm.value))</f>
        <v/>
      </c>
      <c r="N35" s="17" t="str" cm="1">
        <f t="array" aca="1" ref="N35" ca="1">_xlfn.LET(_xlpm.value, OFFSET(INDIRECT(ADDRESS(ROW(),COLUMN())),0,-2), IF(_xlpm.value="","",_xlpm.value))</f>
        <v/>
      </c>
      <c r="O35" s="17" t="str">
        <f ca="1">IFERROR(ROUND(AVERAGEIFS(vRG_1[Root Length per Day (mm/day)],vRG_1[Seed],vRG_2[[#This Row],[Seed]], vRG_1[Fertilizer Added (g)], vRG_2[[#This Row],[Fertilizer Added (g)]]), 2), "")</f>
        <v/>
      </c>
    </row>
    <row r="36" spans="1:15">
      <c r="A36" t="str" cm="1">
        <f t="array" ref="A36">_xlfn.LET(
    _xlpm.value, INDEX(Growing[Seeding Jar], ROW()-ROW(Growing[#Headers])),
    IF(_xlpm.value="", "", _xlpm.value)
)</f>
        <v>33.1</v>
      </c>
      <c r="B36" t="e">
        <f>IF(vRG_1[[#This Row],[Seeding Jar]]="", "", VALUE( _xlfn.XLOOKUP(SUBSTITUTE(vRG_1[[#This Row],[Seeding Jar]], "*", ""), Jars[Jar],#REF!)))</f>
        <v>#REF!</v>
      </c>
      <c r="C36" t="str">
        <f>TRIM(Growing[[#This Row],[Seed]])</f>
        <v>3056JP.65</v>
      </c>
      <c r="D36" t="str">
        <f>IF(Growing[[#This Row],[Date Seeded]]="", "", TEXT(Growing[[#This Row],[Date Seeded]], "YYYY-MM-dd"))</f>
        <v>2026-09-16</v>
      </c>
      <c r="E36" t="str">
        <f>IF(Growing[[#This Row],[Transplant Date]]="", "", TEXT(Growing[[#This Row],[Transplant Date]], "YYYY-MM-dd"))</f>
        <v>None</v>
      </c>
      <c r="F36" t="str">
        <f>IF(Growing[[#This Row],[Transplant Root Length (mm)]]="", "", IFERROR(VALUE(Growing[[#This Row],[Transplant Root Length (mm)]]), ""))</f>
        <v/>
      </c>
      <c r="G36" t="str">
        <f>IFERROR(VALUE(DATEVALUE(vRG_1[[#This Row],[Transplant Date]])-DATEVALUE(vRG_1[[#This Row],[Date Seeded]])), "")</f>
        <v/>
      </c>
      <c r="H36" t="str">
        <f>IFERROR(ROUND(vRG_1[[#This Row],[Transplant Root Length (mm)]]/vRG_1[[#This Row],[Days Between]], 2), "")</f>
        <v/>
      </c>
      <c r="I36">
        <f>IF(AND(ISNUMBER(vRG_1[[#This Row],[Transplant Root Length (mm)]]),ISNUMBER(vRG_1[[#This Row],[Days Between]]),vRG_1[[#This Row],[Days Between]]&gt;0,ISNUMBER(vRG_1[[#This Row],[Fertilizer Added (g)]])), 1, 0)</f>
        <v>0</v>
      </c>
      <c r="M36" s="17" t="str" cm="1">
        <f t="array" aca="1" ref="M36" ca="1">_xlfn.LET(_xlpm.value, OFFSET(INDIRECT(ADDRESS(ROW(),COLUMN())),0,-2), IF(_xlpm.value="","",_xlpm.value))</f>
        <v/>
      </c>
      <c r="N36" s="17" t="str" cm="1">
        <f t="array" aca="1" ref="N36" ca="1">_xlfn.LET(_xlpm.value, OFFSET(INDIRECT(ADDRESS(ROW(),COLUMN())),0,-2), IF(_xlpm.value="","",_xlpm.value))</f>
        <v/>
      </c>
      <c r="O36" s="17" t="str">
        <f ca="1">IFERROR(ROUND(AVERAGEIFS(vRG_1[Root Length per Day (mm/day)],vRG_1[Seed],vRG_2[[#This Row],[Seed]], vRG_1[Fertilizer Added (g)], vRG_2[[#This Row],[Fertilizer Added (g)]]), 2), "")</f>
        <v/>
      </c>
    </row>
    <row r="37" spans="1:15">
      <c r="A37" t="str" cm="1">
        <f t="array" ref="A37">_xlfn.LET(
    _xlpm.value, INDEX(Growing[Seeding Jar], ROW()-ROW(Growing[#Headers])),
    IF(_xlpm.value="", "", _xlpm.value)
)</f>
        <v>34.1</v>
      </c>
      <c r="B37" t="e">
        <f>IF(vRG_1[[#This Row],[Seeding Jar]]="", "", VALUE( _xlfn.XLOOKUP(SUBSTITUTE(vRG_1[[#This Row],[Seeding Jar]], "*", ""), Jars[Jar],#REF!)))</f>
        <v>#REF!</v>
      </c>
      <c r="C37" t="str">
        <f>TRIM(Growing[[#This Row],[Seed]])</f>
        <v>3056JP.65</v>
      </c>
      <c r="D37" t="str">
        <f>IF(Growing[[#This Row],[Date Seeded]]="", "", TEXT(Growing[[#This Row],[Date Seeded]], "YYYY-MM-dd"))</f>
        <v>2026-09-16</v>
      </c>
      <c r="E37" t="str">
        <f>IF(Growing[[#This Row],[Transplant Date]]="", "", TEXT(Growing[[#This Row],[Transplant Date]], "YYYY-MM-dd"))</f>
        <v>None</v>
      </c>
      <c r="F37" t="str">
        <f>IF(Growing[[#This Row],[Transplant Root Length (mm)]]="", "", IFERROR(VALUE(Growing[[#This Row],[Transplant Root Length (mm)]]), ""))</f>
        <v/>
      </c>
      <c r="G37" t="str">
        <f>IFERROR(VALUE(DATEVALUE(vRG_1[[#This Row],[Transplant Date]])-DATEVALUE(vRG_1[[#This Row],[Date Seeded]])), "")</f>
        <v/>
      </c>
      <c r="H37" t="str">
        <f>IFERROR(ROUND(vRG_1[[#This Row],[Transplant Root Length (mm)]]/vRG_1[[#This Row],[Days Between]], 2), "")</f>
        <v/>
      </c>
      <c r="I37">
        <f>IF(AND(ISNUMBER(vRG_1[[#This Row],[Transplant Root Length (mm)]]),ISNUMBER(vRG_1[[#This Row],[Days Between]]),vRG_1[[#This Row],[Days Between]]&gt;0,ISNUMBER(vRG_1[[#This Row],[Fertilizer Added (g)]])), 1, 0)</f>
        <v>0</v>
      </c>
    </row>
    <row r="38" spans="1:15">
      <c r="A38" t="str" cm="1">
        <f t="array" ref="A38">_xlfn.LET(
    _xlpm.value, INDEX(Growing[Seeding Jar], ROW()-ROW(Growing[#Headers])),
    IF(_xlpm.value="", "", _xlpm.value)
)</f>
        <v>35.1</v>
      </c>
      <c r="B38" t="e">
        <f>IF(vRG_1[[#This Row],[Seeding Jar]]="", "", VALUE( _xlfn.XLOOKUP(SUBSTITUTE(vRG_1[[#This Row],[Seeding Jar]], "*", ""), Jars[Jar],#REF!)))</f>
        <v>#REF!</v>
      </c>
      <c r="C38" t="str">
        <f>TRIM(Growing[[#This Row],[Seed]])</f>
        <v>3056JP.65</v>
      </c>
      <c r="D38" t="str">
        <f>IF(Growing[[#This Row],[Date Seeded]]="", "", TEXT(Growing[[#This Row],[Date Seeded]], "YYYY-MM-dd"))</f>
        <v>2026-09-16</v>
      </c>
      <c r="E38" t="str">
        <f>IF(Growing[[#This Row],[Transplant Date]]="", "", TEXT(Growing[[#This Row],[Transplant Date]], "YYYY-MM-dd"))</f>
        <v>None</v>
      </c>
      <c r="F38" t="str">
        <f>IF(Growing[[#This Row],[Transplant Root Length (mm)]]="", "", IFERROR(VALUE(Growing[[#This Row],[Transplant Root Length (mm)]]), ""))</f>
        <v/>
      </c>
      <c r="G38" t="str">
        <f>IFERROR(VALUE(DATEVALUE(vRG_1[[#This Row],[Transplant Date]])-DATEVALUE(vRG_1[[#This Row],[Date Seeded]])), "")</f>
        <v/>
      </c>
      <c r="H38" t="str">
        <f>IFERROR(ROUND(vRG_1[[#This Row],[Transplant Root Length (mm)]]/vRG_1[[#This Row],[Days Between]], 2), "")</f>
        <v/>
      </c>
      <c r="I38">
        <f>IF(AND(ISNUMBER(vRG_1[[#This Row],[Transplant Root Length (mm)]]),ISNUMBER(vRG_1[[#This Row],[Days Between]]),vRG_1[[#This Row],[Days Between]]&gt;0,ISNUMBER(vRG_1[[#This Row],[Fertilizer Added (g)]])), 1, 0)</f>
        <v>0</v>
      </c>
    </row>
    <row r="39" spans="1:15">
      <c r="A39" t="str" cm="1">
        <f t="array" ref="A39">_xlfn.LET(
    _xlpm.value, INDEX(Growing[Seeding Jar], ROW()-ROW(Growing[#Headers])),
    IF(_xlpm.value="", "", _xlpm.value)
)</f>
        <v>33.2</v>
      </c>
      <c r="B39" t="e">
        <f>IF(vRG_1[[#This Row],[Seeding Jar]]="", "", VALUE( _xlfn.XLOOKUP(SUBSTITUTE(vRG_1[[#This Row],[Seeding Jar]], "*", ""), Jars[Jar],#REF!)))</f>
        <v>#REF!</v>
      </c>
      <c r="C39" t="str">
        <f>TRIM(Growing[[#This Row],[Seed]])</f>
        <v>2178GP.53</v>
      </c>
      <c r="D39" t="str">
        <f>IF(Growing[[#This Row],[Date Seeded]]="", "", TEXT(Growing[[#This Row],[Date Seeded]], "YYYY-MM-dd"))</f>
        <v>2026-09-24</v>
      </c>
      <c r="E39" t="str">
        <f>IF(Growing[[#This Row],[Transplant Date]]="", "", TEXT(Growing[[#This Row],[Transplant Date]], "YYYY-MM-dd"))</f>
        <v>2026-10-07</v>
      </c>
      <c r="F39">
        <f>IF(Growing[[#This Row],[Transplant Root Length (mm)]]="", "", IFERROR(VALUE(Growing[[#This Row],[Transplant Root Length (mm)]]), ""))</f>
        <v>45</v>
      </c>
      <c r="G39">
        <f>IFERROR(VALUE(DATEVALUE(vRG_1[[#This Row],[Transplant Date]])-DATEVALUE(vRG_1[[#This Row],[Date Seeded]])), "")</f>
        <v>13</v>
      </c>
      <c r="H39">
        <f>IFERROR(ROUND(vRG_1[[#This Row],[Transplant Root Length (mm)]]/vRG_1[[#This Row],[Days Between]], 2), "")</f>
        <v>3.46</v>
      </c>
      <c r="I39">
        <f>IF(AND(ISNUMBER(vRG_1[[#This Row],[Transplant Root Length (mm)]]),ISNUMBER(vRG_1[[#This Row],[Days Between]]),vRG_1[[#This Row],[Days Between]]&gt;0,ISNUMBER(vRG_1[[#This Row],[Fertilizer Added (g)]])), 1, 0)</f>
        <v>0</v>
      </c>
    </row>
    <row r="40" spans="1:15">
      <c r="A40" t="str" cm="1">
        <f t="array" ref="A40">_xlfn.LET(
    _xlpm.value, INDEX(Growing[Seeding Jar], ROW()-ROW(Growing[#Headers])),
    IF(_xlpm.value="", "", _xlpm.value)
)</f>
        <v>34.2</v>
      </c>
      <c r="B40" t="e">
        <f>IF(vRG_1[[#This Row],[Seeding Jar]]="", "", VALUE( _xlfn.XLOOKUP(SUBSTITUTE(vRG_1[[#This Row],[Seeding Jar]], "*", ""), Jars[Jar],#REF!)))</f>
        <v>#REF!</v>
      </c>
      <c r="C40" t="str">
        <f>TRIM(Growing[[#This Row],[Seed]])</f>
        <v>2178GP.53</v>
      </c>
      <c r="D40" t="str">
        <f>IF(Growing[[#This Row],[Date Seeded]]="", "", TEXT(Growing[[#This Row],[Date Seeded]], "YYYY-MM-dd"))</f>
        <v>2026-09-24</v>
      </c>
      <c r="E40" t="str">
        <f>IF(Growing[[#This Row],[Transplant Date]]="", "", TEXT(Growing[[#This Row],[Transplant Date]], "YYYY-MM-dd"))</f>
        <v>None</v>
      </c>
      <c r="F40" t="str">
        <f>IF(Growing[[#This Row],[Transplant Root Length (mm)]]="", "", IFERROR(VALUE(Growing[[#This Row],[Transplant Root Length (mm)]]), ""))</f>
        <v/>
      </c>
      <c r="G40" t="str">
        <f>IFERROR(VALUE(DATEVALUE(vRG_1[[#This Row],[Transplant Date]])-DATEVALUE(vRG_1[[#This Row],[Date Seeded]])), "")</f>
        <v/>
      </c>
      <c r="H40" t="str">
        <f>IFERROR(ROUND(vRG_1[[#This Row],[Transplant Root Length (mm)]]/vRG_1[[#This Row],[Days Between]], 2), "")</f>
        <v/>
      </c>
      <c r="I40">
        <f>IF(AND(ISNUMBER(vRG_1[[#This Row],[Transplant Root Length (mm)]]),ISNUMBER(vRG_1[[#This Row],[Days Between]]),vRG_1[[#This Row],[Days Between]]&gt;0,ISNUMBER(vRG_1[[#This Row],[Fertilizer Added (g)]])), 1, 0)</f>
        <v>0</v>
      </c>
    </row>
    <row r="41" spans="1:15">
      <c r="A41" t="str" cm="1">
        <f t="array" ref="A41">_xlfn.LET(
    _xlpm.value, INDEX(Growing[Seeding Jar], ROW()-ROW(Growing[#Headers])),
    IF(_xlpm.value="", "", _xlpm.value)
)</f>
        <v>35.2</v>
      </c>
      <c r="B41" t="e">
        <f>IF(vRG_1[[#This Row],[Seeding Jar]]="", "", VALUE( _xlfn.XLOOKUP(SUBSTITUTE(vRG_1[[#This Row],[Seeding Jar]], "*", ""), Jars[Jar],#REF!)))</f>
        <v>#REF!</v>
      </c>
      <c r="C41" t="str">
        <f>TRIM(Growing[[#This Row],[Seed]])</f>
        <v>2178GP.53</v>
      </c>
      <c r="D41" t="str">
        <f>IF(Growing[[#This Row],[Date Seeded]]="", "", TEXT(Growing[[#This Row],[Date Seeded]], "YYYY-MM-dd"))</f>
        <v>2026-09-24</v>
      </c>
      <c r="E41" t="str">
        <f>IF(Growing[[#This Row],[Transplant Date]]="", "", TEXT(Growing[[#This Row],[Transplant Date]], "YYYY-MM-dd"))</f>
        <v>2026-10-07</v>
      </c>
      <c r="F41">
        <f>IF(Growing[[#This Row],[Transplant Root Length (mm)]]="", "", IFERROR(VALUE(Growing[[#This Row],[Transplant Root Length (mm)]]), ""))</f>
        <v>42</v>
      </c>
      <c r="G41">
        <f>IFERROR(VALUE(DATEVALUE(vRG_1[[#This Row],[Transplant Date]])-DATEVALUE(vRG_1[[#This Row],[Date Seeded]])), "")</f>
        <v>13</v>
      </c>
      <c r="H41">
        <f>IFERROR(ROUND(vRG_1[[#This Row],[Transplant Root Length (mm)]]/vRG_1[[#This Row],[Days Between]], 2), "")</f>
        <v>3.23</v>
      </c>
      <c r="I41">
        <f>IF(AND(ISNUMBER(vRG_1[[#This Row],[Transplant Root Length (mm)]]),ISNUMBER(vRG_1[[#This Row],[Days Between]]),vRG_1[[#This Row],[Days Between]]&gt;0,ISNUMBER(vRG_1[[#This Row],[Fertilizer Added (g)]])), 1, 0)</f>
        <v>0</v>
      </c>
    </row>
    <row r="42" spans="1:15">
      <c r="A42" t="str" cm="1">
        <f t="array" ref="A42">_xlfn.LET(
    _xlpm.value, INDEX(Growing[Seeding Jar], ROW()-ROW(Growing[#Headers])),
    IF(_xlpm.value="", "", _xlpm.value)
)</f>
        <v>40</v>
      </c>
      <c r="B42" t="e">
        <f>IF(vRG_1[[#This Row],[Seeding Jar]]="", "", VALUE( _xlfn.XLOOKUP(SUBSTITUTE(vRG_1[[#This Row],[Seeding Jar]], "*", ""), Jars[Jar],#REF!)))</f>
        <v>#REF!</v>
      </c>
      <c r="C42" t="str">
        <f>TRIM(Growing[[#This Row],[Seed]])</f>
        <v>2178GP.53</v>
      </c>
      <c r="D42" t="str">
        <f>IF(Growing[[#This Row],[Date Seeded]]="", "", TEXT(Growing[[#This Row],[Date Seeded]], "YYYY-MM-dd"))</f>
        <v>2026-09-30</v>
      </c>
      <c r="E42" t="str">
        <f>IF(Growing[[#This Row],[Transplant Date]]="", "", TEXT(Growing[[#This Row],[Transplant Date]], "YYYY-MM-dd"))</f>
        <v/>
      </c>
      <c r="F42" t="str">
        <f>IF(Growing[[#This Row],[Transplant Root Length (mm)]]="", "", IFERROR(VALUE(Growing[[#This Row],[Transplant Root Length (mm)]]), ""))</f>
        <v/>
      </c>
      <c r="G42" t="str">
        <f>IFERROR(VALUE(DATEVALUE(vRG_1[[#This Row],[Transplant Date]])-DATEVALUE(vRG_1[[#This Row],[Date Seeded]])), "")</f>
        <v/>
      </c>
      <c r="H42" t="str">
        <f>IFERROR(ROUND(vRG_1[[#This Row],[Transplant Root Length (mm)]]/vRG_1[[#This Row],[Days Between]], 2), "")</f>
        <v/>
      </c>
      <c r="I42">
        <f>IF(AND(ISNUMBER(vRG_1[[#This Row],[Transplant Root Length (mm)]]),ISNUMBER(vRG_1[[#This Row],[Days Between]]),vRG_1[[#This Row],[Days Between]]&gt;0,ISNUMBER(vRG_1[[#This Row],[Fertilizer Added (g)]])), 1, 0)</f>
        <v>0</v>
      </c>
    </row>
    <row r="43" spans="1:15">
      <c r="A43" t="str" cm="1">
        <f t="array" ref="A43">_xlfn.LET(
    _xlpm.value, INDEX(Growing[Seeding Jar], ROW()-ROW(Growing[#Headers])),
    IF(_xlpm.value="", "", _xlpm.value)
)</f>
        <v>38</v>
      </c>
      <c r="B43" t="e">
        <f>IF(vRG_1[[#This Row],[Seeding Jar]]="", "", VALUE( _xlfn.XLOOKUP(SUBSTITUTE(vRG_1[[#This Row],[Seeding Jar]], "*", ""), Jars[Jar],#REF!)))</f>
        <v>#REF!</v>
      </c>
      <c r="C43" t="str">
        <f>TRIM(Growing[[#This Row],[Seed]])</f>
        <v>2178GP.53</v>
      </c>
      <c r="D43" t="str">
        <f>IF(Growing[[#This Row],[Date Seeded]]="", "", TEXT(Growing[[#This Row],[Date Seeded]], "YYYY-MM-dd"))</f>
        <v>2026-10-01</v>
      </c>
      <c r="E43" t="str">
        <f>IF(Growing[[#This Row],[Transplant Date]]="", "", TEXT(Growing[[#This Row],[Transplant Date]], "YYYY-MM-dd"))</f>
        <v/>
      </c>
      <c r="F43" t="str">
        <f>IF(Growing[[#This Row],[Transplant Root Length (mm)]]="", "", IFERROR(VALUE(Growing[[#This Row],[Transplant Root Length (mm)]]), ""))</f>
        <v/>
      </c>
      <c r="G43" t="str">
        <f>IFERROR(VALUE(DATEVALUE(vRG_1[[#This Row],[Transplant Date]])-DATEVALUE(vRG_1[[#This Row],[Date Seeded]])), "")</f>
        <v/>
      </c>
      <c r="H43" t="str">
        <f>IFERROR(ROUND(vRG_1[[#This Row],[Transplant Root Length (mm)]]/vRG_1[[#This Row],[Days Between]], 2), "")</f>
        <v/>
      </c>
      <c r="I43">
        <f>IF(AND(ISNUMBER(vRG_1[[#This Row],[Transplant Root Length (mm)]]),ISNUMBER(vRG_1[[#This Row],[Days Between]]),vRG_1[[#This Row],[Days Between]]&gt;0,ISNUMBER(vRG_1[[#This Row],[Fertilizer Added (g)]])), 1, 0)</f>
        <v>0</v>
      </c>
    </row>
    <row r="44" spans="1:15">
      <c r="A44" t="str" cm="1">
        <f t="array" ref="A44">_xlfn.LET(
    _xlpm.value, INDEX(Growing[Seeding Jar], ROW()-ROW(Growing[#Headers])),
    IF(_xlpm.value="", "", _xlpm.value)
)</f>
        <v>39</v>
      </c>
      <c r="B44" t="e">
        <f>IF(vRG_1[[#This Row],[Seeding Jar]]="", "", VALUE( _xlfn.XLOOKUP(SUBSTITUTE(vRG_1[[#This Row],[Seeding Jar]], "*", ""), Jars[Jar],#REF!)))</f>
        <v>#REF!</v>
      </c>
      <c r="C44" t="str">
        <f>TRIM(Growing[[#This Row],[Seed]])</f>
        <v>2178GP.53</v>
      </c>
      <c r="D44" t="str">
        <f>IF(Growing[[#This Row],[Date Seeded]]="", "", TEXT(Growing[[#This Row],[Date Seeded]], "YYYY-MM-dd"))</f>
        <v>2026-10-01</v>
      </c>
      <c r="E44" t="str">
        <f>IF(Growing[[#This Row],[Transplant Date]]="", "", TEXT(Growing[[#This Row],[Transplant Date]], "YYYY-MM-dd"))</f>
        <v/>
      </c>
      <c r="F44" t="str">
        <f>IF(Growing[[#This Row],[Transplant Root Length (mm)]]="", "", IFERROR(VALUE(Growing[[#This Row],[Transplant Root Length (mm)]]), ""))</f>
        <v/>
      </c>
      <c r="G44" t="str">
        <f>IFERROR(VALUE(DATEVALUE(vRG_1[[#This Row],[Transplant Date]])-DATEVALUE(vRG_1[[#This Row],[Date Seeded]])), "")</f>
        <v/>
      </c>
      <c r="H44" t="str">
        <f>IFERROR(ROUND(vRG_1[[#This Row],[Transplant Root Length (mm)]]/vRG_1[[#This Row],[Days Between]], 2), "")</f>
        <v/>
      </c>
      <c r="I44">
        <f>IF(AND(ISNUMBER(vRG_1[[#This Row],[Transplant Root Length (mm)]]),ISNUMBER(vRG_1[[#This Row],[Days Between]]),vRG_1[[#This Row],[Days Between]]&gt;0,ISNUMBER(vRG_1[[#This Row],[Fertilizer Added (g)]])), 1, 0)</f>
        <v>0</v>
      </c>
    </row>
    <row r="45" spans="1:15">
      <c r="A45" t="str" cm="1">
        <f t="array" ref="A45">_xlfn.LET(
    _xlpm.value, INDEX(Growing[Seeding Jar], ROW()-ROW(Growing[#Headers])),
    IF(_xlpm.value="", "", _xlpm.value)
)</f>
        <v/>
      </c>
      <c r="B45" t="str">
        <f>IF(vRG_1[[#This Row],[Seeding Jar]]="", "", VALUE( _xlfn.XLOOKUP(SUBSTITUTE(vRG_1[[#This Row],[Seeding Jar]], "*", ""), Jars[Jar],#REF!)))</f>
        <v/>
      </c>
      <c r="C45" t="str">
        <f>TRIM(Growing[[#This Row],[Seed]])</f>
        <v/>
      </c>
      <c r="D45" t="str">
        <f>IF(Growing[[#This Row],[Date Seeded]]="", "", TEXT(Growing[[#This Row],[Date Seeded]], "YYYY-MM-dd"))</f>
        <v/>
      </c>
      <c r="E45" t="str">
        <f>IF(Growing[[#This Row],[Transplant Date]]="", "", TEXT(Growing[[#This Row],[Transplant Date]], "YYYY-MM-dd"))</f>
        <v/>
      </c>
      <c r="F45" t="str">
        <f>IF(Growing[[#This Row],[Transplant Root Length (mm)]]="", "", IFERROR(VALUE(Growing[[#This Row],[Transplant Root Length (mm)]]), ""))</f>
        <v/>
      </c>
      <c r="G45" t="str">
        <f>IFERROR(VALUE(DATEVALUE(vRG_1[[#This Row],[Transplant Date]])-DATEVALUE(vRG_1[[#This Row],[Date Seeded]])), "")</f>
        <v/>
      </c>
      <c r="H45" t="str">
        <f>IFERROR(ROUND(vRG_1[[#This Row],[Transplant Root Length (mm)]]/vRG_1[[#This Row],[Days Between]], 2), "")</f>
        <v/>
      </c>
      <c r="I45">
        <f>IF(AND(ISNUMBER(vRG_1[[#This Row],[Transplant Root Length (mm)]]),ISNUMBER(vRG_1[[#This Row],[Days Between]]),vRG_1[[#This Row],[Days Between]]&gt;0,ISNUMBER(vRG_1[[#This Row],[Fertilizer Added (g)]])), 1, 0)</f>
        <v>0</v>
      </c>
    </row>
    <row r="46" spans="1:15">
      <c r="A46" t="str" cm="1">
        <f t="array" ref="A46">_xlfn.LET(
    _xlpm.value, INDEX(Growing[Seeding Jar], ROW()-ROW(Growing[#Headers])),
    IF(_xlpm.value="", "", _xlpm.value)
)</f>
        <v/>
      </c>
      <c r="B46" t="str">
        <f>IF(vRG_1[[#This Row],[Seeding Jar]]="", "", VALUE( _xlfn.XLOOKUP(SUBSTITUTE(vRG_1[[#This Row],[Seeding Jar]], "*", ""), Jars[Jar],#REF!)))</f>
        <v/>
      </c>
      <c r="C46" t="str">
        <f>TRIM(Growing[[#This Row],[Seed]])</f>
        <v/>
      </c>
      <c r="D46" t="str">
        <f>IF(Growing[[#This Row],[Date Seeded]]="", "", TEXT(Growing[[#This Row],[Date Seeded]], "YYYY-MM-dd"))</f>
        <v/>
      </c>
      <c r="E46" t="str">
        <f>IF(Growing[[#This Row],[Transplant Date]]="", "", TEXT(Growing[[#This Row],[Transplant Date]], "YYYY-MM-dd"))</f>
        <v/>
      </c>
      <c r="F46" t="str">
        <f>IF(Growing[[#This Row],[Transplant Root Length (mm)]]="", "", IFERROR(VALUE(Growing[[#This Row],[Transplant Root Length (mm)]]), ""))</f>
        <v/>
      </c>
      <c r="G46" t="str">
        <f>IFERROR(VALUE(DATEVALUE(vRG_1[[#This Row],[Transplant Date]])-DATEVALUE(vRG_1[[#This Row],[Date Seeded]])), "")</f>
        <v/>
      </c>
      <c r="H46" t="str">
        <f>IFERROR(ROUND(vRG_1[[#This Row],[Transplant Root Length (mm)]]/vRG_1[[#This Row],[Days Between]], 2), "")</f>
        <v/>
      </c>
      <c r="I46">
        <f>IF(AND(ISNUMBER(vRG_1[[#This Row],[Transplant Root Length (mm)]]),ISNUMBER(vRG_1[[#This Row],[Days Between]]),vRG_1[[#This Row],[Days Between]]&gt;0,ISNUMBER(vRG_1[[#This Row],[Fertilizer Added (g)]])), 1, 0)</f>
        <v>0</v>
      </c>
    </row>
    <row r="47" spans="1:15">
      <c r="A47" t="str" cm="1">
        <f t="array" ref="A47">_xlfn.LET(
    _xlpm.value, INDEX(Growing[Seeding Jar], ROW()-ROW(Growing[#Headers])),
    IF(_xlpm.value="", "", _xlpm.value)
)</f>
        <v/>
      </c>
      <c r="B47" t="str">
        <f>IF(vRG_1[[#This Row],[Seeding Jar]]="", "", VALUE( _xlfn.XLOOKUP(SUBSTITUTE(vRG_1[[#This Row],[Seeding Jar]], "*", ""), Jars[Jar],#REF!)))</f>
        <v/>
      </c>
      <c r="C47" t="str">
        <f>TRIM(Growing[[#This Row],[Seed]])</f>
        <v/>
      </c>
      <c r="D47" t="str">
        <f>IF(Growing[[#This Row],[Date Seeded]]="", "", TEXT(Growing[[#This Row],[Date Seeded]], "YYYY-MM-dd"))</f>
        <v/>
      </c>
      <c r="E47" t="str">
        <f>IF(Growing[[#This Row],[Transplant Date]]="", "", TEXT(Growing[[#This Row],[Transplant Date]], "YYYY-MM-dd"))</f>
        <v/>
      </c>
      <c r="F47" t="str">
        <f>IF(Growing[[#This Row],[Transplant Root Length (mm)]]="", "", IFERROR(VALUE(Growing[[#This Row],[Transplant Root Length (mm)]]), ""))</f>
        <v/>
      </c>
      <c r="G47" t="str">
        <f>IFERROR(VALUE(DATEVALUE(vRG_1[[#This Row],[Transplant Date]])-DATEVALUE(vRG_1[[#This Row],[Date Seeded]])), "")</f>
        <v/>
      </c>
      <c r="H47" t="str">
        <f>IFERROR(ROUND(vRG_1[[#This Row],[Transplant Root Length (mm)]]/vRG_1[[#This Row],[Days Between]], 2), "")</f>
        <v/>
      </c>
      <c r="I47">
        <f>IF(AND(ISNUMBER(vRG_1[[#This Row],[Transplant Root Length (mm)]]),ISNUMBER(vRG_1[[#This Row],[Days Between]]),vRG_1[[#This Row],[Days Between]]&gt;0,ISNUMBER(vRG_1[[#This Row],[Fertilizer Added (g)]])), 1, 0)</f>
        <v>0</v>
      </c>
    </row>
    <row r="48" spans="1:15">
      <c r="A48" t="str" cm="1">
        <f t="array" ref="A48">_xlfn.LET(
    _xlpm.value, INDEX(Growing[Seeding Jar], ROW()-ROW(Growing[#Headers])),
    IF(_xlpm.value="", "", _xlpm.value)
)</f>
        <v/>
      </c>
      <c r="B48" t="str">
        <f>IF(vRG_1[[#This Row],[Seeding Jar]]="", "", VALUE( _xlfn.XLOOKUP(SUBSTITUTE(vRG_1[[#This Row],[Seeding Jar]], "*", ""), Jars[Jar],#REF!)))</f>
        <v/>
      </c>
      <c r="C48" t="str">
        <f>TRIM(Growing[[#This Row],[Seed]])</f>
        <v/>
      </c>
      <c r="D48" t="str">
        <f>IF(Growing[[#This Row],[Date Seeded]]="", "", TEXT(Growing[[#This Row],[Date Seeded]], "YYYY-MM-dd"))</f>
        <v/>
      </c>
      <c r="E48" t="str">
        <f>IF(Growing[[#This Row],[Transplant Date]]="", "", TEXT(Growing[[#This Row],[Transplant Date]], "YYYY-MM-dd"))</f>
        <v/>
      </c>
      <c r="F48" t="str">
        <f>IF(Growing[[#This Row],[Transplant Root Length (mm)]]="", "", IFERROR(VALUE(Growing[[#This Row],[Transplant Root Length (mm)]]), ""))</f>
        <v/>
      </c>
      <c r="G48" t="str">
        <f>IFERROR(VALUE(DATEVALUE(vRG_1[[#This Row],[Transplant Date]])-DATEVALUE(vRG_1[[#This Row],[Date Seeded]])), "")</f>
        <v/>
      </c>
      <c r="H48" t="str">
        <f>IFERROR(ROUND(vRG_1[[#This Row],[Transplant Root Length (mm)]]/vRG_1[[#This Row],[Days Between]], 2), "")</f>
        <v/>
      </c>
      <c r="I48">
        <f>IF(AND(ISNUMBER(vRG_1[[#This Row],[Transplant Root Length (mm)]]),ISNUMBER(vRG_1[[#This Row],[Days Between]]),vRG_1[[#This Row],[Days Between]]&gt;0,ISNUMBER(vRG_1[[#This Row],[Fertilizer Added (g)]])), 1, 0)</f>
        <v>0</v>
      </c>
    </row>
    <row r="49" spans="1:9">
      <c r="A49" t="str" cm="1">
        <f t="array" ref="A49">_xlfn.LET(
    _xlpm.value, INDEX(Growing[Seeding Jar], ROW()-ROW(Growing[#Headers])),
    IF(_xlpm.value="", "", _xlpm.value)
)</f>
        <v/>
      </c>
      <c r="B49" t="str">
        <f>IF(vRG_1[[#This Row],[Seeding Jar]]="", "", VALUE( _xlfn.XLOOKUP(SUBSTITUTE(vRG_1[[#This Row],[Seeding Jar]], "*", ""), Jars[Jar],#REF!)))</f>
        <v/>
      </c>
      <c r="C49" t="str">
        <f>TRIM(Growing[[#This Row],[Seed]])</f>
        <v/>
      </c>
      <c r="D49" t="str">
        <f>IF(Growing[[#This Row],[Date Seeded]]="", "", TEXT(Growing[[#This Row],[Date Seeded]], "YYYY-MM-dd"))</f>
        <v/>
      </c>
      <c r="E49" t="str">
        <f>IF(Growing[[#This Row],[Transplant Date]]="", "", TEXT(Growing[[#This Row],[Transplant Date]], "YYYY-MM-dd"))</f>
        <v/>
      </c>
      <c r="F49" t="str">
        <f>IF(Growing[[#This Row],[Transplant Root Length (mm)]]="", "", IFERROR(VALUE(Growing[[#This Row],[Transplant Root Length (mm)]]), ""))</f>
        <v/>
      </c>
      <c r="G49" t="str">
        <f>IFERROR(VALUE(DATEVALUE(vRG_1[[#This Row],[Transplant Date]])-DATEVALUE(vRG_1[[#This Row],[Date Seeded]])), "")</f>
        <v/>
      </c>
      <c r="H49" t="str">
        <f>IFERROR(ROUND(vRG_1[[#This Row],[Transplant Root Length (mm)]]/vRG_1[[#This Row],[Days Between]], 2), "")</f>
        <v/>
      </c>
      <c r="I49">
        <f>IF(AND(ISNUMBER(vRG_1[[#This Row],[Transplant Root Length (mm)]]),ISNUMBER(vRG_1[[#This Row],[Days Between]]),vRG_1[[#This Row],[Days Between]]&gt;0,ISNUMBER(vRG_1[[#This Row],[Fertilizer Added (g)]])), 1, 0)</f>
        <v>0</v>
      </c>
    </row>
    <row r="50" spans="1:9">
      <c r="A50" t="str" cm="1">
        <f t="array" ref="A50">_xlfn.LET(
    _xlpm.value, INDEX(Growing[Seeding Jar], ROW()-ROW(Growing[#Headers])),
    IF(_xlpm.value="", "", _xlpm.value)
)</f>
        <v/>
      </c>
      <c r="B50" t="str">
        <f>IF(vRG_1[[#This Row],[Seeding Jar]]="", "", VALUE( _xlfn.XLOOKUP(SUBSTITUTE(vRG_1[[#This Row],[Seeding Jar]], "*", ""), Jars[Jar],#REF!)))</f>
        <v/>
      </c>
      <c r="C50" t="str">
        <f>TRIM(Growing[[#This Row],[Seed]])</f>
        <v/>
      </c>
      <c r="D50" t="str">
        <f>IF(Growing[[#This Row],[Date Seeded]]="", "", TEXT(Growing[[#This Row],[Date Seeded]], "YYYY-MM-dd"))</f>
        <v/>
      </c>
      <c r="E50" t="str">
        <f>IF(Growing[[#This Row],[Transplant Date]]="", "", TEXT(Growing[[#This Row],[Transplant Date]], "YYYY-MM-dd"))</f>
        <v/>
      </c>
      <c r="F50" t="str">
        <f>IF(Growing[[#This Row],[Transplant Root Length (mm)]]="", "", IFERROR(VALUE(Growing[[#This Row],[Transplant Root Length (mm)]]), ""))</f>
        <v/>
      </c>
      <c r="G50" t="str">
        <f>IFERROR(VALUE(DATEVALUE(vRG_1[[#This Row],[Transplant Date]])-DATEVALUE(vRG_1[[#This Row],[Date Seeded]])), "")</f>
        <v/>
      </c>
      <c r="H50" t="str">
        <f>IFERROR(ROUND(vRG_1[[#This Row],[Transplant Root Length (mm)]]/vRG_1[[#This Row],[Days Between]], 2), "")</f>
        <v/>
      </c>
      <c r="I50">
        <f>IF(AND(ISNUMBER(vRG_1[[#This Row],[Transplant Root Length (mm)]]),ISNUMBER(vRG_1[[#This Row],[Days Between]]),vRG_1[[#This Row],[Days Between]]&gt;0,ISNUMBER(vRG_1[[#This Row],[Fertilizer Added (g)]])), 1, 0)</f>
        <v>0</v>
      </c>
    </row>
    <row r="51" spans="1:9">
      <c r="A51" t="str" cm="1">
        <f t="array" ref="A51">_xlfn.LET(
    _xlpm.value, INDEX(Growing[Seeding Jar], ROW()-ROW(Growing[#Headers])),
    IF(_xlpm.value="", "", _xlpm.value)
)</f>
        <v/>
      </c>
      <c r="B51" t="str">
        <f>IF(vRG_1[[#This Row],[Seeding Jar]]="", "", VALUE( _xlfn.XLOOKUP(SUBSTITUTE(vRG_1[[#This Row],[Seeding Jar]], "*", ""), Jars[Jar],#REF!)))</f>
        <v/>
      </c>
      <c r="C51" t="str">
        <f>TRIM(Growing[[#This Row],[Seed]])</f>
        <v/>
      </c>
      <c r="D51" t="str">
        <f>IF(Growing[[#This Row],[Date Seeded]]="", "", TEXT(Growing[[#This Row],[Date Seeded]], "YYYY-MM-dd"))</f>
        <v/>
      </c>
      <c r="E51" t="str">
        <f>IF(Growing[[#This Row],[Transplant Date]]="", "", TEXT(Growing[[#This Row],[Transplant Date]], "YYYY-MM-dd"))</f>
        <v/>
      </c>
      <c r="F51" t="str">
        <f>IF(Growing[[#This Row],[Transplant Root Length (mm)]]="", "", IFERROR(VALUE(Growing[[#This Row],[Transplant Root Length (mm)]]), ""))</f>
        <v/>
      </c>
      <c r="G51" t="str">
        <f>IFERROR(VALUE(DATEVALUE(vRG_1[[#This Row],[Transplant Date]])-DATEVALUE(vRG_1[[#This Row],[Date Seeded]])), "")</f>
        <v/>
      </c>
      <c r="H51" t="str">
        <f>IFERROR(ROUND(vRG_1[[#This Row],[Transplant Root Length (mm)]]/vRG_1[[#This Row],[Days Between]], 2), "")</f>
        <v/>
      </c>
      <c r="I51">
        <f>IF(AND(ISNUMBER(vRG_1[[#This Row],[Transplant Root Length (mm)]]),ISNUMBER(vRG_1[[#This Row],[Days Between]]),vRG_1[[#This Row],[Days Between]]&gt;0,ISNUMBER(vRG_1[[#This Row],[Fertilizer Added (g)]])), 1, 0)</f>
        <v>0</v>
      </c>
    </row>
    <row r="52" spans="1:9">
      <c r="A52" t="str" cm="1">
        <f t="array" ref="A52">_xlfn.LET(
    _xlpm.value, INDEX(Growing[Seeding Jar], ROW()-ROW(Growing[#Headers])),
    IF(_xlpm.value="", "", _xlpm.value)
)</f>
        <v/>
      </c>
      <c r="B52" t="str">
        <f>IF(vRG_1[[#This Row],[Seeding Jar]]="", "", VALUE( _xlfn.XLOOKUP(SUBSTITUTE(vRG_1[[#This Row],[Seeding Jar]], "*", ""), Jars[Jar],#REF!)))</f>
        <v/>
      </c>
      <c r="C52" t="str">
        <f>TRIM(Growing[[#This Row],[Seed]])</f>
        <v/>
      </c>
      <c r="D52" t="str">
        <f>IF(Growing[[#This Row],[Date Seeded]]="", "", TEXT(Growing[[#This Row],[Date Seeded]], "YYYY-MM-dd"))</f>
        <v/>
      </c>
      <c r="E52" t="str">
        <f>IF(Growing[[#This Row],[Transplant Date]]="", "", TEXT(Growing[[#This Row],[Transplant Date]], "YYYY-MM-dd"))</f>
        <v/>
      </c>
      <c r="F52" t="str">
        <f>IF(Growing[[#This Row],[Transplant Root Length (mm)]]="", "", IFERROR(VALUE(Growing[[#This Row],[Transplant Root Length (mm)]]), ""))</f>
        <v/>
      </c>
      <c r="G52" t="str">
        <f>IFERROR(VALUE(DATEVALUE(vRG_1[[#This Row],[Transplant Date]])-DATEVALUE(vRG_1[[#This Row],[Date Seeded]])), "")</f>
        <v/>
      </c>
      <c r="H52" t="str">
        <f>IFERROR(ROUND(vRG_1[[#This Row],[Transplant Root Length (mm)]]/vRG_1[[#This Row],[Days Between]], 2), "")</f>
        <v/>
      </c>
      <c r="I52">
        <f>IF(AND(ISNUMBER(vRG_1[[#This Row],[Transplant Root Length (mm)]]),ISNUMBER(vRG_1[[#This Row],[Days Between]]),vRG_1[[#This Row],[Days Between]]&gt;0,ISNUMBER(vRG_1[[#This Row],[Fertilizer Added (g)]])), 1, 0)</f>
        <v>0</v>
      </c>
    </row>
    <row r="53" spans="1:9">
      <c r="A53" t="str" cm="1">
        <f t="array" ref="A53">_xlfn.LET(
    _xlpm.value, INDEX(Growing[Seeding Jar], ROW()-ROW(Growing[#Headers])),
    IF(_xlpm.value="", "", _xlpm.value)
)</f>
        <v/>
      </c>
      <c r="B53" t="str">
        <f>IF(vRG_1[[#This Row],[Seeding Jar]]="", "", VALUE( _xlfn.XLOOKUP(SUBSTITUTE(vRG_1[[#This Row],[Seeding Jar]], "*", ""), Jars[Jar],#REF!)))</f>
        <v/>
      </c>
      <c r="C53" t="str">
        <f>TRIM(Growing[[#This Row],[Seed]])</f>
        <v/>
      </c>
      <c r="D53" t="str">
        <f>IF(Growing[[#This Row],[Date Seeded]]="", "", TEXT(Growing[[#This Row],[Date Seeded]], "YYYY-MM-dd"))</f>
        <v/>
      </c>
      <c r="E53" t="str">
        <f>IF(Growing[[#This Row],[Transplant Date]]="", "", TEXT(Growing[[#This Row],[Transplant Date]], "YYYY-MM-dd"))</f>
        <v/>
      </c>
      <c r="F53" t="str">
        <f>IF(Growing[[#This Row],[Transplant Root Length (mm)]]="", "", IFERROR(VALUE(Growing[[#This Row],[Transplant Root Length (mm)]]), ""))</f>
        <v/>
      </c>
      <c r="G53" t="str">
        <f>IFERROR(VALUE(DATEVALUE(vRG_1[[#This Row],[Transplant Date]])-DATEVALUE(vRG_1[[#This Row],[Date Seeded]])), "")</f>
        <v/>
      </c>
      <c r="H53" t="str">
        <f>IFERROR(ROUND(vRG_1[[#This Row],[Transplant Root Length (mm)]]/vRG_1[[#This Row],[Days Between]], 2), "")</f>
        <v/>
      </c>
      <c r="I53">
        <f>IF(AND(ISNUMBER(vRG_1[[#This Row],[Transplant Root Length (mm)]]),ISNUMBER(vRG_1[[#This Row],[Days Between]]),vRG_1[[#This Row],[Days Between]]&gt;0,ISNUMBER(vRG_1[[#This Row],[Fertilizer Added (g)]])), 1, 0)</f>
        <v>0</v>
      </c>
    </row>
    <row r="54" spans="1:9">
      <c r="A54" t="str" cm="1">
        <f t="array" ref="A54">_xlfn.LET(
    _xlpm.value, INDEX(Growing[Seeding Jar], ROW()-ROW(Growing[#Headers])),
    IF(_xlpm.value="", "", _xlpm.value)
)</f>
        <v/>
      </c>
      <c r="B54" t="str">
        <f>IF(vRG_1[[#This Row],[Seeding Jar]]="", "", VALUE( _xlfn.XLOOKUP(SUBSTITUTE(vRG_1[[#This Row],[Seeding Jar]], "*", ""), Jars[Jar],#REF!)))</f>
        <v/>
      </c>
      <c r="C54" t="str">
        <f>TRIM(Growing[[#This Row],[Seed]])</f>
        <v/>
      </c>
      <c r="D54" t="str">
        <f>IF(Growing[[#This Row],[Date Seeded]]="", "", TEXT(Growing[[#This Row],[Date Seeded]], "YYYY-MM-dd"))</f>
        <v/>
      </c>
      <c r="E54" t="str">
        <f>IF(Growing[[#This Row],[Transplant Date]]="", "", TEXT(Growing[[#This Row],[Transplant Date]], "YYYY-MM-dd"))</f>
        <v/>
      </c>
      <c r="F54" t="str">
        <f>IF(Growing[[#This Row],[Transplant Root Length (mm)]]="", "", IFERROR(VALUE(Growing[[#This Row],[Transplant Root Length (mm)]]), ""))</f>
        <v/>
      </c>
      <c r="G54" t="str">
        <f>IFERROR(VALUE(DATEVALUE(vRG_1[[#This Row],[Transplant Date]])-DATEVALUE(vRG_1[[#This Row],[Date Seeded]])), "")</f>
        <v/>
      </c>
      <c r="H54" t="str">
        <f>IFERROR(ROUND(vRG_1[[#This Row],[Transplant Root Length (mm)]]/vRG_1[[#This Row],[Days Between]], 2), "")</f>
        <v/>
      </c>
      <c r="I54">
        <f>IF(AND(ISNUMBER(vRG_1[[#This Row],[Transplant Root Length (mm)]]),ISNUMBER(vRG_1[[#This Row],[Days Between]]),vRG_1[[#This Row],[Days Between]]&gt;0,ISNUMBER(vRG_1[[#This Row],[Fertilizer Added (g)]])), 1, 0)</f>
        <v>0</v>
      </c>
    </row>
    <row r="55" spans="1:9">
      <c r="A55" t="str" cm="1">
        <f t="array" ref="A55">_xlfn.LET(
    _xlpm.value, INDEX(Growing[Seeding Jar], ROW()-ROW(Growing[#Headers])),
    IF(_xlpm.value="", "", _xlpm.value)
)</f>
        <v/>
      </c>
      <c r="B55" t="str">
        <f>IF(vRG_1[[#This Row],[Seeding Jar]]="", "", VALUE( _xlfn.XLOOKUP(SUBSTITUTE(vRG_1[[#This Row],[Seeding Jar]], "*", ""), Jars[Jar],#REF!)))</f>
        <v/>
      </c>
      <c r="C55" t="str">
        <f>TRIM(Growing[[#This Row],[Seed]])</f>
        <v/>
      </c>
      <c r="D55" t="str">
        <f>IF(Growing[[#This Row],[Date Seeded]]="", "", TEXT(Growing[[#This Row],[Date Seeded]], "YYYY-MM-dd"))</f>
        <v/>
      </c>
      <c r="E55" t="str">
        <f>IF(Growing[[#This Row],[Transplant Date]]="", "", TEXT(Growing[[#This Row],[Transplant Date]], "YYYY-MM-dd"))</f>
        <v/>
      </c>
      <c r="F55" t="str">
        <f>IF(Growing[[#This Row],[Transplant Root Length (mm)]]="", "", IFERROR(VALUE(Growing[[#This Row],[Transplant Root Length (mm)]]), ""))</f>
        <v/>
      </c>
      <c r="G55" t="str">
        <f>IFERROR(VALUE(DATEVALUE(vRG_1[[#This Row],[Transplant Date]])-DATEVALUE(vRG_1[[#This Row],[Date Seeded]])), "")</f>
        <v/>
      </c>
      <c r="H55" t="str">
        <f>IFERROR(ROUND(vRG_1[[#This Row],[Transplant Root Length (mm)]]/vRG_1[[#This Row],[Days Between]], 2), "")</f>
        <v/>
      </c>
      <c r="I55">
        <f>IF(AND(ISNUMBER(vRG_1[[#This Row],[Transplant Root Length (mm)]]),ISNUMBER(vRG_1[[#This Row],[Days Between]]),vRG_1[[#This Row],[Days Between]]&gt;0,ISNUMBER(vRG_1[[#This Row],[Fertilizer Added (g)]])), 1, 0)</f>
        <v>0</v>
      </c>
    </row>
    <row r="56" spans="1:9">
      <c r="A56" t="str" cm="1">
        <f t="array" ref="A56">_xlfn.LET(
    _xlpm.value, INDEX(Growing[Seeding Jar], ROW()-ROW(Growing[#Headers])),
    IF(_xlpm.value="", "", _xlpm.value)
)</f>
        <v/>
      </c>
      <c r="B56" t="str">
        <f>IF(vRG_1[[#This Row],[Seeding Jar]]="", "", VALUE( _xlfn.XLOOKUP(SUBSTITUTE(vRG_1[[#This Row],[Seeding Jar]], "*", ""), Jars[Jar],#REF!)))</f>
        <v/>
      </c>
      <c r="C56" t="str">
        <f>TRIM(Growing[[#This Row],[Seed]])</f>
        <v/>
      </c>
      <c r="D56" t="str">
        <f>IF(Growing[[#This Row],[Date Seeded]]="", "", TEXT(Growing[[#This Row],[Date Seeded]], "YYYY-MM-dd"))</f>
        <v/>
      </c>
      <c r="E56" t="str">
        <f>IF(Growing[[#This Row],[Transplant Date]]="", "", TEXT(Growing[[#This Row],[Transplant Date]], "YYYY-MM-dd"))</f>
        <v/>
      </c>
      <c r="F56" t="str">
        <f>IF(Growing[[#This Row],[Transplant Root Length (mm)]]="", "", IFERROR(VALUE(Growing[[#This Row],[Transplant Root Length (mm)]]), ""))</f>
        <v/>
      </c>
      <c r="G56" t="str">
        <f>IFERROR(VALUE(DATEVALUE(vRG_1[[#This Row],[Transplant Date]])-DATEVALUE(vRG_1[[#This Row],[Date Seeded]])), "")</f>
        <v/>
      </c>
      <c r="H56" t="str">
        <f>IFERROR(ROUND(vRG_1[[#This Row],[Transplant Root Length (mm)]]/vRG_1[[#This Row],[Days Between]], 2), "")</f>
        <v/>
      </c>
      <c r="I56">
        <f>IF(AND(ISNUMBER(vRG_1[[#This Row],[Transplant Root Length (mm)]]),ISNUMBER(vRG_1[[#This Row],[Days Between]]),vRG_1[[#This Row],[Days Between]]&gt;0,ISNUMBER(vRG_1[[#This Row],[Fertilizer Added (g)]])), 1, 0)</f>
        <v>0</v>
      </c>
    </row>
    <row r="57" spans="1:9">
      <c r="A57" t="str" cm="1">
        <f t="array" ref="A57">_xlfn.LET(
    _xlpm.value, INDEX(Growing[Seeding Jar], ROW()-ROW(Growing[#Headers])),
    IF(_xlpm.value="", "", _xlpm.value)
)</f>
        <v/>
      </c>
      <c r="B57" t="str">
        <f>IF(vRG_1[[#This Row],[Seeding Jar]]="", "", VALUE( _xlfn.XLOOKUP(SUBSTITUTE(vRG_1[[#This Row],[Seeding Jar]], "*", ""), Jars[Jar],#REF!)))</f>
        <v/>
      </c>
      <c r="C57" t="str">
        <f>TRIM(Growing[[#This Row],[Seed]])</f>
        <v/>
      </c>
      <c r="D57" t="str">
        <f>IF(Growing[[#This Row],[Date Seeded]]="", "", TEXT(Growing[[#This Row],[Date Seeded]], "YYYY-MM-dd"))</f>
        <v/>
      </c>
      <c r="E57" t="str">
        <f>IF(Growing[[#This Row],[Transplant Date]]="", "", TEXT(Growing[[#This Row],[Transplant Date]], "YYYY-MM-dd"))</f>
        <v/>
      </c>
      <c r="F57" t="str">
        <f>IF(Growing[[#This Row],[Transplant Root Length (mm)]]="", "", IFERROR(VALUE(Growing[[#This Row],[Transplant Root Length (mm)]]), ""))</f>
        <v/>
      </c>
      <c r="G57" t="str">
        <f>IFERROR(VALUE(DATEVALUE(vRG_1[[#This Row],[Transplant Date]])-DATEVALUE(vRG_1[[#This Row],[Date Seeded]])), "")</f>
        <v/>
      </c>
      <c r="H57" t="str">
        <f>IFERROR(ROUND(vRG_1[[#This Row],[Transplant Root Length (mm)]]/vRG_1[[#This Row],[Days Between]], 2), "")</f>
        <v/>
      </c>
      <c r="I57">
        <f>IF(AND(ISNUMBER(vRG_1[[#This Row],[Transplant Root Length (mm)]]),ISNUMBER(vRG_1[[#This Row],[Days Between]]),vRG_1[[#This Row],[Days Between]]&gt;0,ISNUMBER(vRG_1[[#This Row],[Fertilizer Added (g)]])), 1, 0)</f>
        <v>0</v>
      </c>
    </row>
    <row r="58" spans="1:9">
      <c r="A58" t="str" cm="1">
        <f t="array" ref="A58">_xlfn.LET(
    _xlpm.value, INDEX(Growing[Seeding Jar], ROW()-ROW(Growing[#Headers])),
    IF(_xlpm.value="", "", _xlpm.value)
)</f>
        <v/>
      </c>
      <c r="B58" t="str">
        <f>IF(vRG_1[[#This Row],[Seeding Jar]]="", "", VALUE( _xlfn.XLOOKUP(SUBSTITUTE(vRG_1[[#This Row],[Seeding Jar]], "*", ""), Jars[Jar],#REF!)))</f>
        <v/>
      </c>
      <c r="C58" t="str">
        <f>TRIM(Growing[[#This Row],[Seed]])</f>
        <v/>
      </c>
      <c r="D58" t="str">
        <f>IF(Growing[[#This Row],[Date Seeded]]="", "", TEXT(Growing[[#This Row],[Date Seeded]], "YYYY-MM-dd"))</f>
        <v/>
      </c>
      <c r="E58" t="str">
        <f>IF(Growing[[#This Row],[Transplant Date]]="", "", TEXT(Growing[[#This Row],[Transplant Date]], "YYYY-MM-dd"))</f>
        <v/>
      </c>
      <c r="F58" t="str">
        <f>IF(Growing[[#This Row],[Transplant Root Length (mm)]]="", "", IFERROR(VALUE(Growing[[#This Row],[Transplant Root Length (mm)]]), ""))</f>
        <v/>
      </c>
      <c r="G58" t="str">
        <f>IFERROR(VALUE(DATEVALUE(vRG_1[[#This Row],[Transplant Date]])-DATEVALUE(vRG_1[[#This Row],[Date Seeded]])), "")</f>
        <v/>
      </c>
      <c r="H58" t="str">
        <f>IFERROR(ROUND(vRG_1[[#This Row],[Transplant Root Length (mm)]]/vRG_1[[#This Row],[Days Between]], 2), "")</f>
        <v/>
      </c>
      <c r="I58">
        <f>IF(AND(ISNUMBER(vRG_1[[#This Row],[Transplant Root Length (mm)]]),ISNUMBER(vRG_1[[#This Row],[Days Between]]),vRG_1[[#This Row],[Days Between]]&gt;0,ISNUMBER(vRG_1[[#This Row],[Fertilizer Added (g)]])), 1, 0)</f>
        <v>0</v>
      </c>
    </row>
    <row r="59" spans="1:9">
      <c r="A59" t="str" cm="1">
        <f t="array" ref="A59">_xlfn.LET(
    _xlpm.value, INDEX(Growing[Seeding Jar], ROW()-ROW(Growing[#Headers])),
    IF(_xlpm.value="", "", _xlpm.value)
)</f>
        <v/>
      </c>
      <c r="B59" t="str">
        <f>IF(vRG_1[[#This Row],[Seeding Jar]]="", "", VALUE( _xlfn.XLOOKUP(SUBSTITUTE(vRG_1[[#This Row],[Seeding Jar]], "*", ""), Jars[Jar],#REF!)))</f>
        <v/>
      </c>
      <c r="C59" t="str">
        <f>TRIM(Growing[[#This Row],[Seed]])</f>
        <v/>
      </c>
      <c r="D59" t="str">
        <f>IF(Growing[[#This Row],[Date Seeded]]="", "", TEXT(Growing[[#This Row],[Date Seeded]], "YYYY-MM-dd"))</f>
        <v/>
      </c>
      <c r="E59" t="str">
        <f>IF(Growing[[#This Row],[Transplant Date]]="", "", TEXT(Growing[[#This Row],[Transplant Date]], "YYYY-MM-dd"))</f>
        <v/>
      </c>
      <c r="F59" t="str">
        <f>IF(Growing[[#This Row],[Transplant Root Length (mm)]]="", "", IFERROR(VALUE(Growing[[#This Row],[Transplant Root Length (mm)]]), ""))</f>
        <v/>
      </c>
      <c r="G59" t="str">
        <f>IFERROR(VALUE(DATEVALUE(vRG_1[[#This Row],[Transplant Date]])-DATEVALUE(vRG_1[[#This Row],[Date Seeded]])), "")</f>
        <v/>
      </c>
      <c r="H59" t="str">
        <f>IFERROR(ROUND(vRG_1[[#This Row],[Transplant Root Length (mm)]]/vRG_1[[#This Row],[Days Between]], 2), "")</f>
        <v/>
      </c>
      <c r="I59">
        <f>IF(AND(ISNUMBER(vRG_1[[#This Row],[Transplant Root Length (mm)]]),ISNUMBER(vRG_1[[#This Row],[Days Between]]),vRG_1[[#This Row],[Days Between]]&gt;0,ISNUMBER(vRG_1[[#This Row],[Fertilizer Added (g)]])), 1, 0)</f>
        <v>0</v>
      </c>
    </row>
    <row r="60" spans="1:9">
      <c r="A60" t="str" cm="1">
        <f t="array" ref="A60">_xlfn.LET(
    _xlpm.value, INDEX(Growing[Seeding Jar], ROW()-ROW(Growing[#Headers])),
    IF(_xlpm.value="", "", _xlpm.value)
)</f>
        <v/>
      </c>
      <c r="B60" t="str">
        <f>IF(vRG_1[[#This Row],[Seeding Jar]]="", "", VALUE( _xlfn.XLOOKUP(SUBSTITUTE(vRG_1[[#This Row],[Seeding Jar]], "*", ""), Jars[Jar],#REF!)))</f>
        <v/>
      </c>
      <c r="C60" t="str">
        <f>TRIM(Growing[[#This Row],[Seed]])</f>
        <v/>
      </c>
      <c r="D60" t="str">
        <f>IF(Growing[[#This Row],[Date Seeded]]="", "", TEXT(Growing[[#This Row],[Date Seeded]], "YYYY-MM-dd"))</f>
        <v/>
      </c>
      <c r="E60" t="str">
        <f>IF(Growing[[#This Row],[Transplant Date]]="", "", TEXT(Growing[[#This Row],[Transplant Date]], "YYYY-MM-dd"))</f>
        <v/>
      </c>
      <c r="F60" t="str">
        <f>IF(Growing[[#This Row],[Transplant Root Length (mm)]]="", "", IFERROR(VALUE(Growing[[#This Row],[Transplant Root Length (mm)]]), ""))</f>
        <v/>
      </c>
      <c r="G60" t="str">
        <f>IFERROR(VALUE(DATEVALUE(vRG_1[[#This Row],[Transplant Date]])-DATEVALUE(vRG_1[[#This Row],[Date Seeded]])), "")</f>
        <v/>
      </c>
      <c r="H60" t="str">
        <f>IFERROR(ROUND(vRG_1[[#This Row],[Transplant Root Length (mm)]]/vRG_1[[#This Row],[Days Between]], 2), "")</f>
        <v/>
      </c>
      <c r="I60">
        <f>IF(AND(ISNUMBER(vRG_1[[#This Row],[Transplant Root Length (mm)]]),ISNUMBER(vRG_1[[#This Row],[Days Between]]),vRG_1[[#This Row],[Days Between]]&gt;0,ISNUMBER(vRG_1[[#This Row],[Fertilizer Added (g)]])), 1, 0)</f>
        <v>0</v>
      </c>
    </row>
    <row r="61" spans="1:9">
      <c r="A61" t="str" cm="1">
        <f t="array" ref="A61">_xlfn.LET(
    _xlpm.value, INDEX(Growing[Seeding Jar], ROW()-ROW(Growing[#Headers])),
    IF(_xlpm.value="", "", _xlpm.value)
)</f>
        <v/>
      </c>
      <c r="B61" t="str">
        <f>IF(vRG_1[[#This Row],[Seeding Jar]]="", "", VALUE( _xlfn.XLOOKUP(SUBSTITUTE(vRG_1[[#This Row],[Seeding Jar]], "*", ""), Jars[Jar],#REF!)))</f>
        <v/>
      </c>
      <c r="C61" t="str">
        <f>TRIM(Growing[[#This Row],[Seed]])</f>
        <v/>
      </c>
      <c r="D61" t="str">
        <f>IF(Growing[[#This Row],[Date Seeded]]="", "", TEXT(Growing[[#This Row],[Date Seeded]], "YYYY-MM-dd"))</f>
        <v/>
      </c>
      <c r="E61" t="str">
        <f>IF(Growing[[#This Row],[Transplant Date]]="", "", TEXT(Growing[[#This Row],[Transplant Date]], "YYYY-MM-dd"))</f>
        <v/>
      </c>
      <c r="F61" t="str">
        <f>IF(Growing[[#This Row],[Transplant Root Length (mm)]]="", "", IFERROR(VALUE(Growing[[#This Row],[Transplant Root Length (mm)]]), ""))</f>
        <v/>
      </c>
      <c r="G61" t="str">
        <f>IFERROR(VALUE(DATEVALUE(vRG_1[[#This Row],[Transplant Date]])-DATEVALUE(vRG_1[[#This Row],[Date Seeded]])), "")</f>
        <v/>
      </c>
      <c r="H61" t="str">
        <f>IFERROR(ROUND(vRG_1[[#This Row],[Transplant Root Length (mm)]]/vRG_1[[#This Row],[Days Between]], 2), "")</f>
        <v/>
      </c>
      <c r="I61">
        <f>IF(AND(ISNUMBER(vRG_1[[#This Row],[Transplant Root Length (mm)]]),ISNUMBER(vRG_1[[#This Row],[Days Between]]),vRG_1[[#This Row],[Days Between]]&gt;0,ISNUMBER(vRG_1[[#This Row],[Fertilizer Added (g)]])), 1, 0)</f>
        <v>0</v>
      </c>
    </row>
    <row r="62" spans="1:9">
      <c r="A62" t="str" cm="1">
        <f t="array" ref="A62">_xlfn.LET(
    _xlpm.value, INDEX(Growing[Seeding Jar], ROW()-ROW(Growing[#Headers])),
    IF(_xlpm.value="", "", _xlpm.value)
)</f>
        <v/>
      </c>
      <c r="B62" t="str">
        <f>IF(vRG_1[[#This Row],[Seeding Jar]]="", "", VALUE( _xlfn.XLOOKUP(SUBSTITUTE(vRG_1[[#This Row],[Seeding Jar]], "*", ""), Jars[Jar],#REF!)))</f>
        <v/>
      </c>
      <c r="C62" t="str">
        <f>TRIM(Growing[[#This Row],[Seed]])</f>
        <v/>
      </c>
      <c r="D62" t="str">
        <f>IF(Growing[[#This Row],[Date Seeded]]="", "", TEXT(Growing[[#This Row],[Date Seeded]], "YYYY-MM-dd"))</f>
        <v/>
      </c>
      <c r="E62" t="str">
        <f>IF(Growing[[#This Row],[Transplant Date]]="", "", TEXT(Growing[[#This Row],[Transplant Date]], "YYYY-MM-dd"))</f>
        <v/>
      </c>
      <c r="F62" t="str">
        <f>IF(Growing[[#This Row],[Transplant Root Length (mm)]]="", "", IFERROR(VALUE(Growing[[#This Row],[Transplant Root Length (mm)]]), ""))</f>
        <v/>
      </c>
      <c r="G62" t="str">
        <f>IFERROR(VALUE(DATEVALUE(vRG_1[[#This Row],[Transplant Date]])-DATEVALUE(vRG_1[[#This Row],[Date Seeded]])), "")</f>
        <v/>
      </c>
      <c r="H62" t="str">
        <f>IFERROR(ROUND(vRG_1[[#This Row],[Transplant Root Length (mm)]]/vRG_1[[#This Row],[Days Between]], 2), "")</f>
        <v/>
      </c>
      <c r="I62">
        <f>IF(AND(ISNUMBER(vRG_1[[#This Row],[Transplant Root Length (mm)]]),ISNUMBER(vRG_1[[#This Row],[Days Between]]),vRG_1[[#This Row],[Days Between]]&gt;0,ISNUMBER(vRG_1[[#This Row],[Fertilizer Added (g)]])), 1, 0)</f>
        <v>0</v>
      </c>
    </row>
    <row r="63" spans="1:9">
      <c r="A63" t="str" cm="1">
        <f t="array" ref="A63">_xlfn.LET(
    _xlpm.value, INDEX(Growing[Seeding Jar], ROW()-ROW(Growing[#Headers])),
    IF(_xlpm.value="", "", _xlpm.value)
)</f>
        <v/>
      </c>
      <c r="B63" t="str">
        <f>IF(vRG_1[[#This Row],[Seeding Jar]]="", "", VALUE( _xlfn.XLOOKUP(SUBSTITUTE(vRG_1[[#This Row],[Seeding Jar]], "*", ""), Jars[Jar],#REF!)))</f>
        <v/>
      </c>
      <c r="C63" t="str">
        <f>TRIM(Growing[[#This Row],[Seed]])</f>
        <v/>
      </c>
      <c r="D63" t="str">
        <f>IF(Growing[[#This Row],[Date Seeded]]="", "", TEXT(Growing[[#This Row],[Date Seeded]], "YYYY-MM-dd"))</f>
        <v/>
      </c>
      <c r="E63" t="str">
        <f>IF(Growing[[#This Row],[Transplant Date]]="", "", TEXT(Growing[[#This Row],[Transplant Date]], "YYYY-MM-dd"))</f>
        <v/>
      </c>
      <c r="F63" t="str">
        <f>IF(Growing[[#This Row],[Transplant Root Length (mm)]]="", "", IFERROR(VALUE(Growing[[#This Row],[Transplant Root Length (mm)]]), ""))</f>
        <v/>
      </c>
      <c r="G63" t="str">
        <f>IFERROR(VALUE(DATEVALUE(vRG_1[[#This Row],[Transplant Date]])-DATEVALUE(vRG_1[[#This Row],[Date Seeded]])), "")</f>
        <v/>
      </c>
      <c r="H63" t="str">
        <f>IFERROR(ROUND(vRG_1[[#This Row],[Transplant Root Length (mm)]]/vRG_1[[#This Row],[Days Between]], 2), "")</f>
        <v/>
      </c>
      <c r="I63">
        <f>IF(AND(ISNUMBER(vRG_1[[#This Row],[Transplant Root Length (mm)]]),ISNUMBER(vRG_1[[#This Row],[Days Between]]),vRG_1[[#This Row],[Days Between]]&gt;0,ISNUMBER(vRG_1[[#This Row],[Fertilizer Added (g)]])), 1, 0)</f>
        <v>0</v>
      </c>
    </row>
    <row r="64" spans="1:9">
      <c r="A64" t="str" cm="1">
        <f t="array" ref="A64">_xlfn.LET(
    _xlpm.value, INDEX(Growing[Seeding Jar], ROW()-ROW(Growing[#Headers])),
    IF(_xlpm.value="", "", _xlpm.value)
)</f>
        <v/>
      </c>
      <c r="B64" t="str">
        <f>IF(vRG_1[[#This Row],[Seeding Jar]]="", "", VALUE( _xlfn.XLOOKUP(SUBSTITUTE(vRG_1[[#This Row],[Seeding Jar]], "*", ""), Jars[Jar],#REF!)))</f>
        <v/>
      </c>
      <c r="C64" t="str">
        <f>TRIM(Growing[[#This Row],[Seed]])</f>
        <v/>
      </c>
      <c r="D64" t="str">
        <f>IF(Growing[[#This Row],[Date Seeded]]="", "", TEXT(Growing[[#This Row],[Date Seeded]], "YYYY-MM-dd"))</f>
        <v/>
      </c>
      <c r="E64" t="str">
        <f>IF(Growing[[#This Row],[Transplant Date]]="", "", TEXT(Growing[[#This Row],[Transplant Date]], "YYYY-MM-dd"))</f>
        <v/>
      </c>
      <c r="F64" t="str">
        <f>IF(Growing[[#This Row],[Transplant Root Length (mm)]]="", "", IFERROR(VALUE(Growing[[#This Row],[Transplant Root Length (mm)]]), ""))</f>
        <v/>
      </c>
      <c r="G64" t="str">
        <f>IFERROR(VALUE(DATEVALUE(vRG_1[[#This Row],[Transplant Date]])-DATEVALUE(vRG_1[[#This Row],[Date Seeded]])), "")</f>
        <v/>
      </c>
      <c r="H64" t="str">
        <f>IFERROR(ROUND(vRG_1[[#This Row],[Transplant Root Length (mm)]]/vRG_1[[#This Row],[Days Between]], 2), "")</f>
        <v/>
      </c>
      <c r="I64">
        <f>IF(AND(ISNUMBER(vRG_1[[#This Row],[Transplant Root Length (mm)]]),ISNUMBER(vRG_1[[#This Row],[Days Between]]),vRG_1[[#This Row],[Days Between]]&gt;0,ISNUMBER(vRG_1[[#This Row],[Fertilizer Added (g)]])), 1, 0)</f>
        <v>0</v>
      </c>
    </row>
    <row r="65" spans="1:9">
      <c r="A65" t="str" cm="1">
        <f t="array" ref="A65">_xlfn.LET(
    _xlpm.value, INDEX(Growing[Seeding Jar], ROW()-ROW(Growing[#Headers])),
    IF(_xlpm.value="", "", _xlpm.value)
)</f>
        <v/>
      </c>
      <c r="B65" t="str">
        <f>IF(vRG_1[[#This Row],[Seeding Jar]]="", "", VALUE( _xlfn.XLOOKUP(SUBSTITUTE(vRG_1[[#This Row],[Seeding Jar]], "*", ""), Jars[Jar],#REF!)))</f>
        <v/>
      </c>
      <c r="C65" t="str">
        <f>TRIM(Growing[[#This Row],[Seed]])</f>
        <v/>
      </c>
      <c r="D65" t="str">
        <f>IF(Growing[[#This Row],[Date Seeded]]="", "", TEXT(Growing[[#This Row],[Date Seeded]], "YYYY-MM-dd"))</f>
        <v/>
      </c>
      <c r="E65" t="str">
        <f>IF(Growing[[#This Row],[Transplant Date]]="", "", TEXT(Growing[[#This Row],[Transplant Date]], "YYYY-MM-dd"))</f>
        <v/>
      </c>
      <c r="F65" t="str">
        <f>IF(Growing[[#This Row],[Transplant Root Length (mm)]]="", "", IFERROR(VALUE(Growing[[#This Row],[Transplant Root Length (mm)]]), ""))</f>
        <v/>
      </c>
      <c r="G65" t="str">
        <f>IFERROR(VALUE(DATEVALUE(vRG_1[[#This Row],[Transplant Date]])-DATEVALUE(vRG_1[[#This Row],[Date Seeded]])), "")</f>
        <v/>
      </c>
      <c r="H65" t="str">
        <f>IFERROR(ROUND(vRG_1[[#This Row],[Transplant Root Length (mm)]]/vRG_1[[#This Row],[Days Between]], 2), "")</f>
        <v/>
      </c>
      <c r="I65">
        <f>IF(AND(ISNUMBER(vRG_1[[#This Row],[Transplant Root Length (mm)]]),ISNUMBER(vRG_1[[#This Row],[Days Between]]),vRG_1[[#This Row],[Days Between]]&gt;0,ISNUMBER(vRG_1[[#This Row],[Fertilizer Added (g)]])), 1, 0)</f>
        <v>0</v>
      </c>
    </row>
    <row r="66" spans="1:9">
      <c r="A66" t="str" cm="1">
        <f t="array" ref="A66">_xlfn.LET(
    _xlpm.value, INDEX(Growing[Seeding Jar], ROW()-ROW(Growing[#Headers])),
    IF(_xlpm.value="", "", _xlpm.value)
)</f>
        <v/>
      </c>
      <c r="B66" t="str">
        <f>IF(vRG_1[[#This Row],[Seeding Jar]]="", "", VALUE( _xlfn.XLOOKUP(SUBSTITUTE(vRG_1[[#This Row],[Seeding Jar]], "*", ""), Jars[Jar],#REF!)))</f>
        <v/>
      </c>
      <c r="C66" t="str">
        <f>TRIM(Growing[[#This Row],[Seed]])</f>
        <v/>
      </c>
      <c r="D66" t="str">
        <f>IF(Growing[[#This Row],[Date Seeded]]="", "", TEXT(Growing[[#This Row],[Date Seeded]], "YYYY-MM-dd"))</f>
        <v/>
      </c>
      <c r="E66" t="str">
        <f>IF(Growing[[#This Row],[Transplant Date]]="", "", TEXT(Growing[[#This Row],[Transplant Date]], "YYYY-MM-dd"))</f>
        <v/>
      </c>
      <c r="F66" t="str">
        <f>IF(Growing[[#This Row],[Transplant Root Length (mm)]]="", "", IFERROR(VALUE(Growing[[#This Row],[Transplant Root Length (mm)]]), ""))</f>
        <v/>
      </c>
      <c r="G66" t="str">
        <f>IFERROR(VALUE(DATEVALUE(vRG_1[[#This Row],[Transplant Date]])-DATEVALUE(vRG_1[[#This Row],[Date Seeded]])), "")</f>
        <v/>
      </c>
      <c r="H66" t="str">
        <f>IFERROR(ROUND(vRG_1[[#This Row],[Transplant Root Length (mm)]]/vRG_1[[#This Row],[Days Between]], 2), "")</f>
        <v/>
      </c>
      <c r="I66">
        <f>IF(AND(ISNUMBER(vRG_1[[#This Row],[Transplant Root Length (mm)]]),ISNUMBER(vRG_1[[#This Row],[Days Between]]),vRG_1[[#This Row],[Days Between]]&gt;0,ISNUMBER(vRG_1[[#This Row],[Fertilizer Added (g)]])), 1, 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A68C-6CDF-471F-A8E5-81562500A3B9}">
  <dimension ref="A1:Q66"/>
  <sheetViews>
    <sheetView topLeftCell="A8" workbookViewId="0">
      <selection activeCell="N12" sqref="N12"/>
    </sheetView>
  </sheetViews>
  <sheetFormatPr defaultRowHeight="15"/>
  <cols>
    <col min="1" max="1" width="13.42578125" bestFit="1" customWidth="1"/>
    <col min="2" max="2" width="20.7109375" bestFit="1" customWidth="1"/>
    <col min="3" max="3" width="11.42578125" bestFit="1" customWidth="1"/>
    <col min="4" max="4" width="14.7109375" bestFit="1" customWidth="1"/>
    <col min="5" max="5" width="17.85546875" bestFit="1" customWidth="1"/>
    <col min="6" max="6" width="17.85546875" customWidth="1"/>
    <col min="7" max="7" width="28.140625" customWidth="1"/>
    <col min="8" max="8" width="16.28515625" bestFit="1" customWidth="1"/>
    <col min="9" max="9" width="31.5703125" bestFit="1" customWidth="1"/>
    <col min="10" max="10" width="10" bestFit="1" customWidth="1"/>
    <col min="11" max="12" width="12.85546875" customWidth="1"/>
    <col min="13" max="13" width="10.7109375" customWidth="1"/>
    <col min="14" max="14" width="11.5703125" customWidth="1"/>
    <col min="15" max="15" width="20.140625" customWidth="1"/>
    <col min="16" max="16" width="40.7109375" customWidth="1"/>
    <col min="18" max="18" width="10.42578125" customWidth="1"/>
    <col min="19" max="19" width="9.85546875" customWidth="1"/>
    <col min="20" max="20" width="11.5703125" bestFit="1" customWidth="1"/>
  </cols>
  <sheetData>
    <row r="1" spans="1:17" ht="15.75" customHeight="1">
      <c r="A1" t="s">
        <v>784</v>
      </c>
    </row>
    <row r="9" spans="1:17">
      <c r="A9" s="10" t="s">
        <v>770</v>
      </c>
      <c r="B9" t="s">
        <v>771</v>
      </c>
      <c r="C9" s="10" t="s">
        <v>772</v>
      </c>
      <c r="D9" s="10" t="s">
        <v>773</v>
      </c>
      <c r="E9" s="10" t="s">
        <v>774</v>
      </c>
      <c r="F9" s="10"/>
      <c r="G9" s="10" t="s">
        <v>775</v>
      </c>
      <c r="H9" t="s">
        <v>336</v>
      </c>
      <c r="I9" s="10" t="s">
        <v>776</v>
      </c>
      <c r="J9" t="s">
        <v>336</v>
      </c>
      <c r="L9" s="10" t="s">
        <v>777</v>
      </c>
      <c r="M9" t="s">
        <v>336</v>
      </c>
      <c r="N9" s="10" t="s">
        <v>778</v>
      </c>
      <c r="O9" s="10" t="s">
        <v>778</v>
      </c>
      <c r="P9" t="s">
        <v>779</v>
      </c>
      <c r="Q9" t="s">
        <v>336</v>
      </c>
    </row>
    <row r="10" spans="1:17">
      <c r="A10" t="s">
        <v>567</v>
      </c>
      <c r="B10" t="s">
        <v>352</v>
      </c>
      <c r="C10" t="s">
        <v>286</v>
      </c>
      <c r="D10" t="s">
        <v>570</v>
      </c>
      <c r="E10" t="s">
        <v>577</v>
      </c>
      <c r="F10" t="s">
        <v>589</v>
      </c>
      <c r="G10" t="s">
        <v>785</v>
      </c>
      <c r="H10" t="s">
        <v>780</v>
      </c>
      <c r="I10" t="s">
        <v>781</v>
      </c>
      <c r="J10" t="s">
        <v>782</v>
      </c>
      <c r="L10" s="10"/>
      <c r="N10" t="s">
        <v>286</v>
      </c>
      <c r="O10" t="s">
        <v>352</v>
      </c>
      <c r="P10" t="s">
        <v>783</v>
      </c>
    </row>
    <row r="11" spans="1:17">
      <c r="A11" t="str" cm="1">
        <f t="array" ref="A11">_xlfn.LET(_xlpm.value, INDEX(Growing[Seeding Jar], ROW()-ROW(Growing[#Headers])), IF(_xlpm.value="", "", _xlpm.value))</f>
        <v>1</v>
      </c>
      <c r="B11" t="e">
        <f>IF(vLS_1[[#This Row],[Seeding Jar]]="", "", VALUE( _xlfn.XLOOKUP(SUBSTITUTE(vLS_1[[#This Row],[Seeding Jar]], "*", ""), Jars[Jar],#REF!)))</f>
        <v>#REF!</v>
      </c>
      <c r="C11" t="str">
        <f>TRIM(Growing[[#This Row],[Seed]])</f>
        <v>3059JP.65</v>
      </c>
      <c r="D11" t="str">
        <f>IF(Growing[[#This Row],[Date Seeded]]="", "", TEXT(Growing[[#This Row],[Date Seeded]], "YYYY-MM-dd"))</f>
        <v>Unknown</v>
      </c>
      <c r="E11" t="str">
        <f>IF(Growing[[#This Row],[Transplant Date]]="", "", TEXT(Growing[[#This Row],[Transplant Date]], "YYYY-MM-dd"))</f>
        <v>None</v>
      </c>
      <c r="F11" t="str">
        <f>IF(Growing[[#This Row],[Date Terminated]]="", "", TEXT(Growing[[#This Row],[Date Terminated]], "YYYY-MM-dd"))</f>
        <v>2026-07-26</v>
      </c>
      <c r="G11" t="str">
        <f>IF(Growing[[#This Row],[Root Length (mm)]]="", "", IFERROR(VALUE(Growing[[#This Row],[Root Length (mm)]]), ""))</f>
        <v/>
      </c>
      <c r="H11" t="str">
        <f>IFERROR(VALUE(DATEVALUE(vLS_1[[#This Row],[Date Terminated]])-DATEVALUE(vLS_1[[#This Row],[Transplant Date]])), "")</f>
        <v/>
      </c>
      <c r="I11" t="str">
        <f>IFERROR(ROUND(vLS_1[[#This Row],[Final Root Length (mm)]]/vLS_1[[#This Row],[Days Between]], 2), "")</f>
        <v/>
      </c>
      <c r="J11">
        <f>IF(AND(ISNUMBER(vLS_1[[#This Row],[Final Root Length (mm)]]),ISNUMBER(vLS_1[[#This Row],[Days Between]]),vLS_1[[#This Row],[Days Between]]&gt;0,ISNUMBER(vLS_1[[#This Row],[Fertilizer Added (g)]])), 1, 0)</f>
        <v>0</v>
      </c>
      <c r="L11" t="e" cm="1" vm="1">
        <f t="array" ref="L11">_xlfn.LET(_xlpm.data, _xlfn.UNIQUE(_xlfn._xlws.FILTER(_xlfn.HSTACK(vLS_1[Seed], vLS_1[Fertilizer Added (g)]), VALUE(vLS_1[Include])=1)), _xlfn.SORTBY(_xlpm.data, _xlfn.CHOOSECOLS(_xlpm.data, 2), 1, VALUE(_xlfn.CHOOSECOLS(_xlpm.data, 1)), 1))</f>
        <v>#VALUE!</v>
      </c>
      <c r="N11" t="e" cm="1" vm="2">
        <f t="array" aca="1" ref="N11" ca="1">_xlfn.LET(_xlpm.value, OFFSET(INDIRECT(ADDRESS(ROW(),COLUMN())),0,-2), IF(_xlpm.value="","",_xlpm.value))</f>
        <v>#VALUE!</v>
      </c>
      <c r="O11" t="str" cm="1">
        <f t="array" aca="1" ref="O11" ca="1">_xlfn.LET(_xlpm.value, OFFSET(INDIRECT(ADDRESS(ROW(),COLUMN())),0,-2), IF(_xlpm.value="","",_xlpm.value))</f>
        <v/>
      </c>
      <c r="P11" t="str">
        <f ca="1">IFERROR(ROUND(AVERAGEIFS(vLS_1[Root Length per Day (mm/day)],vLS_1[Seed],vLS_2[[#This Row],[Seed]], vLS_1[Fertilizer Added (g)], vLS_2[[#This Row],[Fertilizer Added (g)]]), 2), "")</f>
        <v/>
      </c>
    </row>
    <row r="12" spans="1:17">
      <c r="A12" t="str" cm="1">
        <f t="array" ref="A12">_xlfn.LET(
    _xlpm.value, INDEX(Growing[Seeding Jar], ROW()-ROW(Growing[#Headers])),
    IF(_xlpm.value="", "", _xlpm.value)
)</f>
        <v>2</v>
      </c>
      <c r="B12" t="e">
        <f>IF(vLS_1[[#This Row],[Seeding Jar]]="", "", VALUE( _xlfn.XLOOKUP(SUBSTITUTE(vLS_1[[#This Row],[Seeding Jar]], "*", ""), Jars[Jar],#REF!)))</f>
        <v>#REF!</v>
      </c>
      <c r="C12" t="str">
        <f>TRIM(Growing[[#This Row],[Seed]])</f>
        <v>3059JP.65</v>
      </c>
      <c r="D12" t="str">
        <f>IF(Growing[[#This Row],[Date Seeded]]="", "", TEXT(Growing[[#This Row],[Date Seeded]], "YYYY-MM-dd"))</f>
        <v>Unknown</v>
      </c>
      <c r="E12" t="str">
        <f>IF(Growing[[#This Row],[Transplant Date]]="", "", TEXT(Growing[[#This Row],[Transplant Date]], "YYYY-MM-dd"))</f>
        <v>None</v>
      </c>
      <c r="F12" t="str">
        <f>IF(Growing[[#This Row],[Date Terminated]]="", "", TEXT(Growing[[#This Row],[Date Terminated]], "YYYY-MM-dd"))</f>
        <v>2026-07-12</v>
      </c>
      <c r="G12" t="str">
        <f>IF(Growing[[#This Row],[Root Length (mm)]]="", "", IFERROR(VALUE(Growing[[#This Row],[Root Length (mm)]]), ""))</f>
        <v/>
      </c>
      <c r="H12" t="str">
        <f>IFERROR(VALUE(DATEVALUE(vLS_1[[#This Row],[Date Terminated]])-DATEVALUE(vLS_1[[#This Row],[Transplant Date]])), "")</f>
        <v/>
      </c>
      <c r="I12" t="str">
        <f>IFERROR(ROUND(vLS_1[[#This Row],[Final Root Length (mm)]]/vLS_1[[#This Row],[Days Between]], 2), "")</f>
        <v/>
      </c>
      <c r="J12">
        <f>IF(AND(ISNUMBER(vLS_1[[#This Row],[Final Root Length (mm)]]),ISNUMBER(vLS_1[[#This Row],[Days Between]]),vLS_1[[#This Row],[Days Between]]&gt;0,ISNUMBER(vLS_1[[#This Row],[Fertilizer Added (g)]])), 1, 0)</f>
        <v>0</v>
      </c>
      <c r="N12" t="str" cm="1">
        <f t="array" aca="1" ref="N12" ca="1">_xlfn.LET(_xlpm.value, OFFSET(INDIRECT(ADDRESS(ROW(),COLUMN())),0,-2), IF(_xlpm.value="","",_xlpm.value))</f>
        <v/>
      </c>
      <c r="O12" t="str" cm="1">
        <f t="array" aca="1" ref="O12" ca="1">_xlfn.LET(_xlpm.value, OFFSET(INDIRECT(ADDRESS(ROW(),COLUMN())),0,-2), IF(_xlpm.value="","",_xlpm.value))</f>
        <v/>
      </c>
      <c r="P12" t="str">
        <f ca="1">IFERROR(ROUND(AVERAGEIFS(vLS_1[Root Length per Day (mm/day)],vLS_1[Seed],vLS_2[[#This Row],[Seed]], vLS_1[Fertilizer Added (g)], vLS_2[[#This Row],[Fertilizer Added (g)]]), 2), "")</f>
        <v/>
      </c>
    </row>
    <row r="13" spans="1:17">
      <c r="A13" t="str" cm="1">
        <f t="array" ref="A13">_xlfn.LET(
    _xlpm.value, INDEX(Growing[Seeding Jar], ROW()-ROW(Growing[#Headers])),
    IF(_xlpm.value="", "", _xlpm.value)
)</f>
        <v>3</v>
      </c>
      <c r="B13" t="e">
        <f>IF(vLS_1[[#This Row],[Seeding Jar]]="", "", VALUE( _xlfn.XLOOKUP(SUBSTITUTE(vLS_1[[#This Row],[Seeding Jar]], "*", ""), Jars[Jar],#REF!)))</f>
        <v>#REF!</v>
      </c>
      <c r="C13" t="str">
        <f>TRIM(Growing[[#This Row],[Seed]])</f>
        <v>3059JP.65</v>
      </c>
      <c r="D13" t="str">
        <f>IF(Growing[[#This Row],[Date Seeded]]="", "", TEXT(Growing[[#This Row],[Date Seeded]], "YYYY-MM-dd"))</f>
        <v>Unknown</v>
      </c>
      <c r="E13" t="str">
        <f>IF(Growing[[#This Row],[Transplant Date]]="", "", TEXT(Growing[[#This Row],[Transplant Date]], "YYYY-MM-dd"))</f>
        <v>None</v>
      </c>
      <c r="F13" t="str">
        <f>IF(Growing[[#This Row],[Date Terminated]]="", "", TEXT(Growing[[#This Row],[Date Terminated]], "YYYY-MM-dd"))</f>
        <v>2026-07-12</v>
      </c>
      <c r="G13" t="str">
        <f>IF(Growing[[#This Row],[Root Length (mm)]]="", "", IFERROR(VALUE(Growing[[#This Row],[Root Length (mm)]]), ""))</f>
        <v/>
      </c>
      <c r="H13" t="str">
        <f>IFERROR(VALUE(DATEVALUE(vLS_1[[#This Row],[Date Terminated]])-DATEVALUE(vLS_1[[#This Row],[Transplant Date]])), "")</f>
        <v/>
      </c>
      <c r="I13" t="str">
        <f>IFERROR(ROUND(vLS_1[[#This Row],[Final Root Length (mm)]]/vLS_1[[#This Row],[Days Between]], 2), "")</f>
        <v/>
      </c>
      <c r="J13">
        <f>IF(AND(ISNUMBER(vLS_1[[#This Row],[Final Root Length (mm)]]),ISNUMBER(vLS_1[[#This Row],[Days Between]]),vLS_1[[#This Row],[Days Between]]&gt;0,ISNUMBER(vLS_1[[#This Row],[Fertilizer Added (g)]])), 1, 0)</f>
        <v>0</v>
      </c>
      <c r="N13" t="str" cm="1">
        <f t="array" aca="1" ref="N13" ca="1">_xlfn.LET(_xlpm.value, OFFSET(INDIRECT(ADDRESS(ROW(),COLUMN())),0,-2), IF(_xlpm.value="","",_xlpm.value))</f>
        <v/>
      </c>
      <c r="O13" t="str" cm="1">
        <f t="array" aca="1" ref="O13" ca="1">_xlfn.LET(_xlpm.value, OFFSET(INDIRECT(ADDRESS(ROW(),COLUMN())),0,-2), IF(_xlpm.value="","",_xlpm.value))</f>
        <v/>
      </c>
      <c r="P13" t="str">
        <f ca="1">IFERROR(ROUND(AVERAGEIFS(vLS_1[Root Length per Day (mm/day)],vLS_1[Seed],vLS_2[[#This Row],[Seed]], vLS_1[Fertilizer Added (g)], vLS_2[[#This Row],[Fertilizer Added (g)]]), 2), "")</f>
        <v/>
      </c>
    </row>
    <row r="14" spans="1:17">
      <c r="A14" t="str" cm="1">
        <f t="array" ref="A14">_xlfn.LET(
    _xlpm.value, INDEX(Growing[Seeding Jar], ROW()-ROW(Growing[#Headers])),
    IF(_xlpm.value="", "", _xlpm.value)
)</f>
        <v>4</v>
      </c>
      <c r="B14" t="e">
        <f>IF(vLS_1[[#This Row],[Seeding Jar]]="", "", VALUE( _xlfn.XLOOKUP(SUBSTITUTE(vLS_1[[#This Row],[Seeding Jar]], "*", ""), Jars[Jar],#REF!)))</f>
        <v>#REF!</v>
      </c>
      <c r="C14" t="str">
        <f>TRIM(Growing[[#This Row],[Seed]])</f>
        <v>3059JP.65</v>
      </c>
      <c r="D14" t="str">
        <f>IF(Growing[[#This Row],[Date Seeded]]="", "", TEXT(Growing[[#This Row],[Date Seeded]], "YYYY-MM-dd"))</f>
        <v>Unknown</v>
      </c>
      <c r="E14" t="str">
        <f>IF(Growing[[#This Row],[Transplant Date]]="", "", TEXT(Growing[[#This Row],[Transplant Date]], "YYYY-MM-dd"))</f>
        <v>None</v>
      </c>
      <c r="F14" t="str">
        <f>IF(Growing[[#This Row],[Date Terminated]]="", "", TEXT(Growing[[#This Row],[Date Terminated]], "YYYY-MM-dd"))</f>
        <v>2026-07-26</v>
      </c>
      <c r="G14" t="str">
        <f>IF(Growing[[#This Row],[Root Length (mm)]]="", "", IFERROR(VALUE(Growing[[#This Row],[Root Length (mm)]]), ""))</f>
        <v/>
      </c>
      <c r="H14" t="str">
        <f>IFERROR(VALUE(DATEVALUE(vLS_1[[#This Row],[Date Terminated]])-DATEVALUE(vLS_1[[#This Row],[Transplant Date]])), "")</f>
        <v/>
      </c>
      <c r="I14" t="str">
        <f>IFERROR(ROUND(vLS_1[[#This Row],[Final Root Length (mm)]]/vLS_1[[#This Row],[Days Between]], 2), "")</f>
        <v/>
      </c>
      <c r="J14">
        <f>IF(AND(ISNUMBER(vLS_1[[#This Row],[Final Root Length (mm)]]),ISNUMBER(vLS_1[[#This Row],[Days Between]]),vLS_1[[#This Row],[Days Between]]&gt;0,ISNUMBER(vLS_1[[#This Row],[Fertilizer Added (g)]])), 1, 0)</f>
        <v>0</v>
      </c>
      <c r="N14" t="str" cm="1">
        <f t="array" aca="1" ref="N14" ca="1">_xlfn.LET(_xlpm.value, OFFSET(INDIRECT(ADDRESS(ROW(),COLUMN())),0,-2), IF(_xlpm.value="","",_xlpm.value))</f>
        <v/>
      </c>
      <c r="O14" s="17" t="str" cm="1">
        <f t="array" aca="1" ref="O14" ca="1">_xlfn.LET(_xlpm.value, OFFSET(INDIRECT(ADDRESS(ROW(),COLUMN())),0,-2), IF(_xlpm.value="","",_xlpm.value))</f>
        <v/>
      </c>
      <c r="P14" s="17" t="str">
        <f ca="1">IFERROR(ROUND(AVERAGEIFS(vLS_1[Root Length per Day (mm/day)],vLS_1[Seed],vLS_2[[#This Row],[Seed]], vLS_1[Fertilizer Added (g)], vLS_2[[#This Row],[Fertilizer Added (g)]]), 2), "")</f>
        <v/>
      </c>
    </row>
    <row r="15" spans="1:17">
      <c r="A15" t="str" cm="1">
        <f t="array" ref="A15">_xlfn.LET(
    _xlpm.value, INDEX(Growing[Seeding Jar], ROW()-ROW(Growing[#Headers])),
    IF(_xlpm.value="", "", _xlpm.value)
)</f>
        <v>5</v>
      </c>
      <c r="B15" t="e">
        <f>IF(vLS_1[[#This Row],[Seeding Jar]]="", "", VALUE( _xlfn.XLOOKUP(SUBSTITUTE(vLS_1[[#This Row],[Seeding Jar]], "*", ""), Jars[Jar],#REF!)))</f>
        <v>#REF!</v>
      </c>
      <c r="C15" t="str">
        <f>TRIM(Growing[[#This Row],[Seed]])</f>
        <v>2178GP.53</v>
      </c>
      <c r="D15" t="str">
        <f>IF(Growing[[#This Row],[Date Seeded]]="", "", TEXT(Growing[[#This Row],[Date Seeded]], "YYYY-MM-dd"))</f>
        <v>Unknown</v>
      </c>
      <c r="E15" t="str">
        <f>IF(Growing[[#This Row],[Transplant Date]]="", "", TEXT(Growing[[#This Row],[Transplant Date]], "YYYY-MM-dd"))</f>
        <v>None</v>
      </c>
      <c r="F15" t="str">
        <f>IF(Growing[[#This Row],[Date Terminated]]="", "", TEXT(Growing[[#This Row],[Date Terminated]], "YYYY-MM-dd"))</f>
        <v>2026-07-12</v>
      </c>
      <c r="G15" t="str">
        <f>IF(Growing[[#This Row],[Root Length (mm)]]="", "", IFERROR(VALUE(Growing[[#This Row],[Root Length (mm)]]), ""))</f>
        <v/>
      </c>
      <c r="H15" t="str">
        <f>IFERROR(VALUE(DATEVALUE(vLS_1[[#This Row],[Date Terminated]])-DATEVALUE(vLS_1[[#This Row],[Transplant Date]])), "")</f>
        <v/>
      </c>
      <c r="I15" t="str">
        <f>IFERROR(ROUND(vLS_1[[#This Row],[Final Root Length (mm)]]/vLS_1[[#This Row],[Days Between]], 2), "")</f>
        <v/>
      </c>
      <c r="J15">
        <f>IF(AND(ISNUMBER(vLS_1[[#This Row],[Final Root Length (mm)]]),ISNUMBER(vLS_1[[#This Row],[Days Between]]),vLS_1[[#This Row],[Days Between]]&gt;0,ISNUMBER(vLS_1[[#This Row],[Fertilizer Added (g)]])), 1, 0)</f>
        <v>0</v>
      </c>
      <c r="N15" t="str" cm="1">
        <f t="array" aca="1" ref="N15" ca="1">_xlfn.LET(_xlpm.value, OFFSET(INDIRECT(ADDRESS(ROW(),COLUMN())),0,-2), IF(_xlpm.value="","",_xlpm.value))</f>
        <v/>
      </c>
      <c r="O15" s="17" t="str" cm="1">
        <f t="array" aca="1" ref="O15" ca="1">_xlfn.LET(_xlpm.value, OFFSET(INDIRECT(ADDRESS(ROW(),COLUMN())),0,-2), IF(_xlpm.value="","",_xlpm.value))</f>
        <v/>
      </c>
      <c r="P15" s="17" t="str">
        <f ca="1">IFERROR(ROUND(AVERAGEIFS(vLS_1[Root Length per Day (mm/day)],vLS_1[Seed],vLS_2[[#This Row],[Seed]], vLS_1[Fertilizer Added (g)], vLS_2[[#This Row],[Fertilizer Added (g)]]), 2), "")</f>
        <v/>
      </c>
    </row>
    <row r="16" spans="1:17">
      <c r="A16" t="str" cm="1">
        <f t="array" ref="A16">_xlfn.LET(
    _xlpm.value, INDEX(Growing[Seeding Jar], ROW()-ROW(Growing[#Headers])),
    IF(_xlpm.value="", "", _xlpm.value)
)</f>
        <v>6</v>
      </c>
      <c r="B16" t="e">
        <f>IF(vLS_1[[#This Row],[Seeding Jar]]="", "", VALUE( _xlfn.XLOOKUP(SUBSTITUTE(vLS_1[[#This Row],[Seeding Jar]], "*", ""), Jars[Jar],#REF!)))</f>
        <v>#REF!</v>
      </c>
      <c r="C16" t="str">
        <f>TRIM(Growing[[#This Row],[Seed]])</f>
        <v>3057JP.65</v>
      </c>
      <c r="D16" t="str">
        <f>IF(Growing[[#This Row],[Date Seeded]]="", "", TEXT(Growing[[#This Row],[Date Seeded]], "YYYY-MM-dd"))</f>
        <v>Unknown</v>
      </c>
      <c r="E16" t="str">
        <f>IF(Growing[[#This Row],[Transplant Date]]="", "", TEXT(Growing[[#This Row],[Transplant Date]], "YYYY-MM-dd"))</f>
        <v>None</v>
      </c>
      <c r="F16" t="str">
        <f>IF(Growing[[#This Row],[Date Terminated]]="", "", TEXT(Growing[[#This Row],[Date Terminated]], "YYYY-MM-dd"))</f>
        <v>2026-08-09</v>
      </c>
      <c r="G16" t="str">
        <f>IF(Growing[[#This Row],[Root Length (mm)]]="", "", IFERROR(VALUE(Growing[[#This Row],[Root Length (mm)]]), ""))</f>
        <v/>
      </c>
      <c r="H16" t="str">
        <f>IFERROR(VALUE(DATEVALUE(vLS_1[[#This Row],[Date Terminated]])-DATEVALUE(vLS_1[[#This Row],[Transplant Date]])), "")</f>
        <v/>
      </c>
      <c r="I16" t="str">
        <f>IFERROR(ROUND(vLS_1[[#This Row],[Final Root Length (mm)]]/vLS_1[[#This Row],[Days Between]], 2), "")</f>
        <v/>
      </c>
      <c r="J16">
        <f>IF(AND(ISNUMBER(vLS_1[[#This Row],[Final Root Length (mm)]]),ISNUMBER(vLS_1[[#This Row],[Days Between]]),vLS_1[[#This Row],[Days Between]]&gt;0,ISNUMBER(vLS_1[[#This Row],[Fertilizer Added (g)]])), 1, 0)</f>
        <v>0</v>
      </c>
      <c r="N16" s="17" t="str" cm="1">
        <f t="array" aca="1" ref="N16" ca="1">_xlfn.LET(_xlpm.value, OFFSET(INDIRECT(ADDRESS(ROW(),COLUMN())),0,-2), IF(_xlpm.value="","",_xlpm.value))</f>
        <v/>
      </c>
      <c r="O16" s="17" t="str" cm="1">
        <f t="array" aca="1" ref="O16" ca="1">_xlfn.LET(_xlpm.value, OFFSET(INDIRECT(ADDRESS(ROW(),COLUMN())),0,-2), IF(_xlpm.value="","",_xlpm.value))</f>
        <v/>
      </c>
      <c r="P16" s="17" t="str">
        <f ca="1">IFERROR(ROUND(AVERAGEIFS(vLS_1[Root Length per Day (mm/day)],vLS_1[Seed],vLS_2[[#This Row],[Seed]], vLS_1[Fertilizer Added (g)], vLS_2[[#This Row],[Fertilizer Added (g)]]), 2), "")</f>
        <v/>
      </c>
    </row>
    <row r="17" spans="1:16">
      <c r="A17" t="str" cm="1">
        <f t="array" ref="A17">_xlfn.LET(
    _xlpm.value, INDEX(Growing[Seeding Jar], ROW()-ROW(Growing[#Headers])),
    IF(_xlpm.value="", "", _xlpm.value)
)</f>
        <v>7</v>
      </c>
      <c r="B17" t="e">
        <f>IF(vLS_1[[#This Row],[Seeding Jar]]="", "", VALUE( _xlfn.XLOOKUP(SUBSTITUTE(vLS_1[[#This Row],[Seeding Jar]], "*", ""), Jars[Jar],#REF!)))</f>
        <v>#REF!</v>
      </c>
      <c r="C17" t="str">
        <f>TRIM(Growing[[#This Row],[Seed]])</f>
        <v>3057JP.65</v>
      </c>
      <c r="D17" t="str">
        <f>IF(Growing[[#This Row],[Date Seeded]]="", "", TEXT(Growing[[#This Row],[Date Seeded]], "YYYY-MM-dd"))</f>
        <v>Unknown</v>
      </c>
      <c r="E17" t="str">
        <f>IF(Growing[[#This Row],[Transplant Date]]="", "", TEXT(Growing[[#This Row],[Transplant Date]], "YYYY-MM-dd"))</f>
        <v>None</v>
      </c>
      <c r="F17" t="str">
        <f>IF(Growing[[#This Row],[Date Terminated]]="", "", TEXT(Growing[[#This Row],[Date Terminated]], "YYYY-MM-dd"))</f>
        <v>2026-08-09</v>
      </c>
      <c r="G17" t="str">
        <f>IF(Growing[[#This Row],[Root Length (mm)]]="", "", IFERROR(VALUE(Growing[[#This Row],[Root Length (mm)]]), ""))</f>
        <v/>
      </c>
      <c r="H17" t="str">
        <f>IFERROR(VALUE(DATEVALUE(vLS_1[[#This Row],[Date Terminated]])-DATEVALUE(vLS_1[[#This Row],[Transplant Date]])), "")</f>
        <v/>
      </c>
      <c r="I17" t="str">
        <f>IFERROR(ROUND(vLS_1[[#This Row],[Final Root Length (mm)]]/vLS_1[[#This Row],[Days Between]], 2), "")</f>
        <v/>
      </c>
      <c r="J17">
        <f>IF(AND(ISNUMBER(vLS_1[[#This Row],[Final Root Length (mm)]]),ISNUMBER(vLS_1[[#This Row],[Days Between]]),vLS_1[[#This Row],[Days Between]]&gt;0,ISNUMBER(vLS_1[[#This Row],[Fertilizer Added (g)]])), 1, 0)</f>
        <v>0</v>
      </c>
      <c r="N17" s="17" t="str" cm="1">
        <f t="array" aca="1" ref="N17" ca="1">_xlfn.LET(_xlpm.value, OFFSET(INDIRECT(ADDRESS(ROW(),COLUMN())),0,-2), IF(_xlpm.value="","",_xlpm.value))</f>
        <v/>
      </c>
      <c r="O17" s="17" t="str" cm="1">
        <f t="array" aca="1" ref="O17" ca="1">_xlfn.LET(_xlpm.value, OFFSET(INDIRECT(ADDRESS(ROW(),COLUMN())),0,-2), IF(_xlpm.value="","",_xlpm.value))</f>
        <v/>
      </c>
      <c r="P17" s="17" t="str">
        <f ca="1">IFERROR(ROUND(AVERAGEIFS(vLS_1[Root Length per Day (mm/day)],vLS_1[Seed],vLS_2[[#This Row],[Seed]], vLS_1[Fertilizer Added (g)], vLS_2[[#This Row],[Fertilizer Added (g)]]), 2), "")</f>
        <v/>
      </c>
    </row>
    <row r="18" spans="1:16">
      <c r="A18" t="str" cm="1">
        <f t="array" ref="A18">_xlfn.LET(
    _xlpm.value, INDEX(Growing[Seeding Jar], ROW()-ROW(Growing[#Headers])),
    IF(_xlpm.value="", "", _xlpm.value)
)</f>
        <v>8</v>
      </c>
      <c r="B18" t="e">
        <f>IF(vLS_1[[#This Row],[Seeding Jar]]="", "", VALUE( _xlfn.XLOOKUP(SUBSTITUTE(vLS_1[[#This Row],[Seeding Jar]], "*", ""), Jars[Jar],#REF!)))</f>
        <v>#REF!</v>
      </c>
      <c r="C18" t="str">
        <f>TRIM(Growing[[#This Row],[Seed]])</f>
        <v>3057JP.65</v>
      </c>
      <c r="D18" t="str">
        <f>IF(Growing[[#This Row],[Date Seeded]]="", "", TEXT(Growing[[#This Row],[Date Seeded]], "YYYY-MM-dd"))</f>
        <v>Unknown</v>
      </c>
      <c r="E18" t="str">
        <f>IF(Growing[[#This Row],[Transplant Date]]="", "", TEXT(Growing[[#This Row],[Transplant Date]], "YYYY-MM-dd"))</f>
        <v>None</v>
      </c>
      <c r="F18" t="str">
        <f>IF(Growing[[#This Row],[Date Terminated]]="", "", TEXT(Growing[[#This Row],[Date Terminated]], "YYYY-MM-dd"))</f>
        <v>2026-08-16</v>
      </c>
      <c r="G18" t="str">
        <f>IF(Growing[[#This Row],[Root Length (mm)]]="", "", IFERROR(VALUE(Growing[[#This Row],[Root Length (mm)]]), ""))</f>
        <v/>
      </c>
      <c r="H18" t="str">
        <f>IFERROR(VALUE(DATEVALUE(vLS_1[[#This Row],[Date Terminated]])-DATEVALUE(vLS_1[[#This Row],[Transplant Date]])), "")</f>
        <v/>
      </c>
      <c r="I18" t="str">
        <f>IFERROR(ROUND(vLS_1[[#This Row],[Final Root Length (mm)]]/vLS_1[[#This Row],[Days Between]], 2), "")</f>
        <v/>
      </c>
      <c r="J18">
        <f>IF(AND(ISNUMBER(vLS_1[[#This Row],[Final Root Length (mm)]]),ISNUMBER(vLS_1[[#This Row],[Days Between]]),vLS_1[[#This Row],[Days Between]]&gt;0,ISNUMBER(vLS_1[[#This Row],[Fertilizer Added (g)]])), 1, 0)</f>
        <v>0</v>
      </c>
      <c r="N18" s="17" t="str" cm="1">
        <f t="array" aca="1" ref="N18" ca="1">_xlfn.LET(_xlpm.value, OFFSET(INDIRECT(ADDRESS(ROW(),COLUMN())),0,-2), IF(_xlpm.value="","",_xlpm.value))</f>
        <v/>
      </c>
      <c r="O18" s="17" t="str" cm="1">
        <f t="array" aca="1" ref="O18" ca="1">_xlfn.LET(_xlpm.value, OFFSET(INDIRECT(ADDRESS(ROW(),COLUMN())),0,-2), IF(_xlpm.value="","",_xlpm.value))</f>
        <v/>
      </c>
      <c r="P18" s="17" t="str">
        <f ca="1">IFERROR(ROUND(AVERAGEIFS(vLS_1[Root Length per Day (mm/day)],vLS_1[Seed],vLS_2[[#This Row],[Seed]], vLS_1[Fertilizer Added (g)], vLS_2[[#This Row],[Fertilizer Added (g)]]), 2), "")</f>
        <v/>
      </c>
    </row>
    <row r="19" spans="1:16">
      <c r="A19" t="str" cm="1">
        <f t="array" ref="A19">_xlfn.LET(
    _xlpm.value, INDEX(Growing[Seeding Jar], ROW()-ROW(Growing[#Headers])),
    IF(_xlpm.value="", "", _xlpm.value)
)</f>
        <v>9</v>
      </c>
      <c r="B19" t="e">
        <f>IF(vLS_1[[#This Row],[Seeding Jar]]="", "", VALUE( _xlfn.XLOOKUP(SUBSTITUTE(vLS_1[[#This Row],[Seeding Jar]], "*", ""), Jars[Jar],#REF!)))</f>
        <v>#REF!</v>
      </c>
      <c r="C19" t="str">
        <f>TRIM(Growing[[#This Row],[Seed]])</f>
        <v>3057JP.65</v>
      </c>
      <c r="D19" t="str">
        <f>IF(Growing[[#This Row],[Date Seeded]]="", "", TEXT(Growing[[#This Row],[Date Seeded]], "YYYY-MM-dd"))</f>
        <v>Unknown</v>
      </c>
      <c r="E19" t="str">
        <f>IF(Growing[[#This Row],[Transplant Date]]="", "", TEXT(Growing[[#This Row],[Transplant Date]], "YYYY-MM-dd"))</f>
        <v>None</v>
      </c>
      <c r="F19" t="str">
        <f>IF(Growing[[#This Row],[Date Terminated]]="", "", TEXT(Growing[[#This Row],[Date Terminated]], "YYYY-MM-dd"))</f>
        <v>2026-08-09</v>
      </c>
      <c r="G19" t="str">
        <f>IF(Growing[[#This Row],[Root Length (mm)]]="", "", IFERROR(VALUE(Growing[[#This Row],[Root Length (mm)]]), ""))</f>
        <v/>
      </c>
      <c r="H19" t="str">
        <f>IFERROR(VALUE(DATEVALUE(vLS_1[[#This Row],[Date Terminated]])-DATEVALUE(vLS_1[[#This Row],[Transplant Date]])), "")</f>
        <v/>
      </c>
      <c r="I19" t="str">
        <f>IFERROR(ROUND(vLS_1[[#This Row],[Final Root Length (mm)]]/vLS_1[[#This Row],[Days Between]], 2), "")</f>
        <v/>
      </c>
      <c r="J19">
        <f>IF(AND(ISNUMBER(vLS_1[[#This Row],[Final Root Length (mm)]]),ISNUMBER(vLS_1[[#This Row],[Days Between]]),vLS_1[[#This Row],[Days Between]]&gt;0,ISNUMBER(vLS_1[[#This Row],[Fertilizer Added (g)]])), 1, 0)</f>
        <v>0</v>
      </c>
      <c r="N19" s="17" t="str" cm="1">
        <f t="array" aca="1" ref="N19" ca="1">_xlfn.LET(_xlpm.value, OFFSET(INDIRECT(ADDRESS(ROW(),COLUMN())),0,-2), IF(_xlpm.value="","",_xlpm.value))</f>
        <v/>
      </c>
      <c r="O19" s="17" t="str" cm="1">
        <f t="array" aca="1" ref="O19" ca="1">_xlfn.LET(_xlpm.value, OFFSET(INDIRECT(ADDRESS(ROW(),COLUMN())),0,-2), IF(_xlpm.value="","",_xlpm.value))</f>
        <v/>
      </c>
      <c r="P19" s="17" t="str">
        <f ca="1">IFERROR(ROUND(AVERAGEIFS(vLS_1[Root Length per Day (mm/day)],vLS_1[Seed],vLS_2[[#This Row],[Seed]], vLS_1[Fertilizer Added (g)], vLS_2[[#This Row],[Fertilizer Added (g)]]), 2), "")</f>
        <v/>
      </c>
    </row>
    <row r="20" spans="1:16">
      <c r="A20" t="str" cm="1">
        <f t="array" ref="A20">_xlfn.LET(
    _xlpm.value, INDEX(Growing[Seeding Jar], ROW()-ROW(Growing[#Headers])),
    IF(_xlpm.value="", "", _xlpm.value)
)</f>
        <v>10</v>
      </c>
      <c r="B20" t="e">
        <f>IF(vLS_1[[#This Row],[Seeding Jar]]="", "", VALUE( _xlfn.XLOOKUP(SUBSTITUTE(vLS_1[[#This Row],[Seeding Jar]], "*", ""), Jars[Jar],#REF!)))</f>
        <v>#REF!</v>
      </c>
      <c r="C20" t="str">
        <f>TRIM(Growing[[#This Row],[Seed]])</f>
        <v>3057JP.65</v>
      </c>
      <c r="D20" t="str">
        <f>IF(Growing[[#This Row],[Date Seeded]]="", "", TEXT(Growing[[#This Row],[Date Seeded]], "YYYY-MM-dd"))</f>
        <v>Unknown</v>
      </c>
      <c r="E20" t="str">
        <f>IF(Growing[[#This Row],[Transplant Date]]="", "", TEXT(Growing[[#This Row],[Transplant Date]], "YYYY-MM-dd"))</f>
        <v>None</v>
      </c>
      <c r="F20" t="str">
        <f>IF(Growing[[#This Row],[Date Terminated]]="", "", TEXT(Growing[[#This Row],[Date Terminated]], "YYYY-MM-dd"))</f>
        <v>2026-08-23</v>
      </c>
      <c r="G20" t="str">
        <f>IF(Growing[[#This Row],[Root Length (mm)]]="", "", IFERROR(VALUE(Growing[[#This Row],[Root Length (mm)]]), ""))</f>
        <v/>
      </c>
      <c r="H20" t="str">
        <f>IFERROR(VALUE(DATEVALUE(vLS_1[[#This Row],[Date Terminated]])-DATEVALUE(vLS_1[[#This Row],[Transplant Date]])), "")</f>
        <v/>
      </c>
      <c r="I20" t="str">
        <f>IFERROR(ROUND(vLS_1[[#This Row],[Final Root Length (mm)]]/vLS_1[[#This Row],[Days Between]], 2), "")</f>
        <v/>
      </c>
      <c r="J20">
        <f>IF(AND(ISNUMBER(vLS_1[[#This Row],[Final Root Length (mm)]]),ISNUMBER(vLS_1[[#This Row],[Days Between]]),vLS_1[[#This Row],[Days Between]]&gt;0,ISNUMBER(vLS_1[[#This Row],[Fertilizer Added (g)]])), 1, 0)</f>
        <v>0</v>
      </c>
      <c r="N20" s="17" t="str" cm="1">
        <f t="array" aca="1" ref="N20" ca="1">_xlfn.LET(_xlpm.value, OFFSET(INDIRECT(ADDRESS(ROW(),COLUMN())),0,-2), IF(_xlpm.value="","",_xlpm.value))</f>
        <v/>
      </c>
      <c r="O20" s="17" t="str" cm="1">
        <f t="array" aca="1" ref="O20" ca="1">_xlfn.LET(_xlpm.value, OFFSET(INDIRECT(ADDRESS(ROW(),COLUMN())),0,-2), IF(_xlpm.value="","",_xlpm.value))</f>
        <v/>
      </c>
      <c r="P20" s="17" t="str">
        <f ca="1">IFERROR(ROUND(AVERAGEIFS(vLS_1[Root Length per Day (mm/day)],vLS_1[Seed],vLS_2[[#This Row],[Seed]], vLS_1[Fertilizer Added (g)], vLS_2[[#This Row],[Fertilizer Added (g)]]), 2), "")</f>
        <v/>
      </c>
    </row>
    <row r="21" spans="1:16">
      <c r="A21" t="str" cm="1">
        <f t="array" ref="A21">_xlfn.LET(
    _xlpm.value, INDEX(Growing[Seeding Jar], ROW()-ROW(Growing[#Headers])),
    IF(_xlpm.value="", "", _xlpm.value)
)</f>
        <v>11</v>
      </c>
      <c r="B21" t="e">
        <f>IF(vLS_1[[#This Row],[Seeding Jar]]="", "", VALUE( _xlfn.XLOOKUP(SUBSTITUTE(vLS_1[[#This Row],[Seeding Jar]], "*", ""), Jars[Jar],#REF!)))</f>
        <v>#REF!</v>
      </c>
      <c r="C21" t="str">
        <f>TRIM(Growing[[#This Row],[Seed]])</f>
        <v>3057JP.65</v>
      </c>
      <c r="D21" t="str">
        <f>IF(Growing[[#This Row],[Date Seeded]]="", "", TEXT(Growing[[#This Row],[Date Seeded]], "YYYY-MM-dd"))</f>
        <v>Unknown</v>
      </c>
      <c r="E21" t="str">
        <f>IF(Growing[[#This Row],[Transplant Date]]="", "", TEXT(Growing[[#This Row],[Transplant Date]], "YYYY-MM-dd"))</f>
        <v>None</v>
      </c>
      <c r="F21" t="str">
        <f>IF(Growing[[#This Row],[Date Terminated]]="", "", TEXT(Growing[[#This Row],[Date Terminated]], "YYYY-MM-dd"))</f>
        <v>2026-08-16</v>
      </c>
      <c r="G21" t="str">
        <f>IF(Growing[[#This Row],[Root Length (mm)]]="", "", IFERROR(VALUE(Growing[[#This Row],[Root Length (mm)]]), ""))</f>
        <v/>
      </c>
      <c r="H21" t="str">
        <f>IFERROR(VALUE(DATEVALUE(vLS_1[[#This Row],[Date Terminated]])-DATEVALUE(vLS_1[[#This Row],[Transplant Date]])), "")</f>
        <v/>
      </c>
      <c r="I21" t="str">
        <f>IFERROR(ROUND(vLS_1[[#This Row],[Final Root Length (mm)]]/vLS_1[[#This Row],[Days Between]], 2), "")</f>
        <v/>
      </c>
      <c r="J21">
        <f>IF(AND(ISNUMBER(vLS_1[[#This Row],[Final Root Length (mm)]]),ISNUMBER(vLS_1[[#This Row],[Days Between]]),vLS_1[[#This Row],[Days Between]]&gt;0,ISNUMBER(vLS_1[[#This Row],[Fertilizer Added (g)]])), 1, 0)</f>
        <v>0</v>
      </c>
      <c r="N21" s="17" t="str" cm="1">
        <f t="array" aca="1" ref="N21" ca="1">_xlfn.LET(_xlpm.value, OFFSET(INDIRECT(ADDRESS(ROW(),COLUMN())),0,-2), IF(_xlpm.value="","",_xlpm.value))</f>
        <v/>
      </c>
      <c r="O21" s="17" t="str" cm="1">
        <f t="array" aca="1" ref="O21" ca="1">_xlfn.LET(_xlpm.value, OFFSET(INDIRECT(ADDRESS(ROW(),COLUMN())),0,-2), IF(_xlpm.value="","",_xlpm.value))</f>
        <v/>
      </c>
      <c r="P21" s="17" t="str">
        <f ca="1">IFERROR(ROUND(AVERAGEIFS(vLS_1[Root Length per Day (mm/day)],vLS_1[Seed],vLS_2[[#This Row],[Seed]], vLS_1[Fertilizer Added (g)], vLS_2[[#This Row],[Fertilizer Added (g)]]), 2), "")</f>
        <v/>
      </c>
    </row>
    <row r="22" spans="1:16">
      <c r="A22" t="str" cm="1">
        <f t="array" ref="A22">_xlfn.LET(
    _xlpm.value, INDEX(Growing[Seeding Jar], ROW()-ROW(Growing[#Headers])),
    IF(_xlpm.value="", "", _xlpm.value)
)</f>
        <v>12</v>
      </c>
      <c r="B22" t="e">
        <f>IF(vLS_1[[#This Row],[Seeding Jar]]="", "", VALUE( _xlfn.XLOOKUP(SUBSTITUTE(vLS_1[[#This Row],[Seeding Jar]], "*", ""), Jars[Jar],#REF!)))</f>
        <v>#REF!</v>
      </c>
      <c r="C22" t="str">
        <f>TRIM(Growing[[#This Row],[Seed]])</f>
        <v>3057JP.65</v>
      </c>
      <c r="D22" t="str">
        <f>IF(Growing[[#This Row],[Date Seeded]]="", "", TEXT(Growing[[#This Row],[Date Seeded]], "YYYY-MM-dd"))</f>
        <v>Unknown</v>
      </c>
      <c r="E22" t="str">
        <f>IF(Growing[[#This Row],[Transplant Date]]="", "", TEXT(Growing[[#This Row],[Transplant Date]], "YYYY-MM-dd"))</f>
        <v>None</v>
      </c>
      <c r="F22" t="str">
        <f>IF(Growing[[#This Row],[Date Terminated]]="", "", TEXT(Growing[[#This Row],[Date Terminated]], "YYYY-MM-dd"))</f>
        <v>2026-08-23</v>
      </c>
      <c r="G22" t="str">
        <f>IF(Growing[[#This Row],[Root Length (mm)]]="", "", IFERROR(VALUE(Growing[[#This Row],[Root Length (mm)]]), ""))</f>
        <v/>
      </c>
      <c r="H22" t="str">
        <f>IFERROR(VALUE(DATEVALUE(vLS_1[[#This Row],[Date Terminated]])-DATEVALUE(vLS_1[[#This Row],[Transplant Date]])), "")</f>
        <v/>
      </c>
      <c r="I22" t="str">
        <f>IFERROR(ROUND(vLS_1[[#This Row],[Final Root Length (mm)]]/vLS_1[[#This Row],[Days Between]], 2), "")</f>
        <v/>
      </c>
      <c r="J22">
        <f>IF(AND(ISNUMBER(vLS_1[[#This Row],[Final Root Length (mm)]]),ISNUMBER(vLS_1[[#This Row],[Days Between]]),vLS_1[[#This Row],[Days Between]]&gt;0,ISNUMBER(vLS_1[[#This Row],[Fertilizer Added (g)]])), 1, 0)</f>
        <v>0</v>
      </c>
      <c r="N22" s="17" t="str" cm="1">
        <f t="array" aca="1" ref="N22" ca="1">_xlfn.LET(_xlpm.value, OFFSET(INDIRECT(ADDRESS(ROW(),COLUMN())),0,-2), IF(_xlpm.value="","",_xlpm.value))</f>
        <v/>
      </c>
      <c r="O22" s="17" t="str" cm="1">
        <f t="array" aca="1" ref="O22" ca="1">_xlfn.LET(_xlpm.value, OFFSET(INDIRECT(ADDRESS(ROW(),COLUMN())),0,-2), IF(_xlpm.value="","",_xlpm.value))</f>
        <v/>
      </c>
      <c r="P22" s="17" t="str">
        <f ca="1">IFERROR(ROUND(AVERAGEIFS(vLS_1[Root Length per Day (mm/day)],vLS_1[Seed],vLS_2[[#This Row],[Seed]], vLS_1[Fertilizer Added (g)], vLS_2[[#This Row],[Fertilizer Added (g)]]), 2), "")</f>
        <v/>
      </c>
    </row>
    <row r="23" spans="1:16">
      <c r="A23" t="str" cm="1">
        <f t="array" ref="A23">_xlfn.LET(
    _xlpm.value, INDEX(Growing[Seeding Jar], ROW()-ROW(Growing[#Headers])),
    IF(_xlpm.value="", "", _xlpm.value)
)</f>
        <v>13</v>
      </c>
      <c r="B23" t="e">
        <f>IF(vLS_1[[#This Row],[Seeding Jar]]="", "", VALUE( _xlfn.XLOOKUP(SUBSTITUTE(vLS_1[[#This Row],[Seeding Jar]], "*", ""), Jars[Jar],#REF!)))</f>
        <v>#REF!</v>
      </c>
      <c r="C23" t="str">
        <f>TRIM(Growing[[#This Row],[Seed]])</f>
        <v>3057JP.65</v>
      </c>
      <c r="D23" t="str">
        <f>IF(Growing[[#This Row],[Date Seeded]]="", "", TEXT(Growing[[#This Row],[Date Seeded]], "YYYY-MM-dd"))</f>
        <v>Unknown</v>
      </c>
      <c r="E23" t="str">
        <f>IF(Growing[[#This Row],[Transplant Date]]="", "", TEXT(Growing[[#This Row],[Transplant Date]], "YYYY-MM-dd"))</f>
        <v>None</v>
      </c>
      <c r="F23" t="str">
        <f>IF(Growing[[#This Row],[Date Terminated]]="", "", TEXT(Growing[[#This Row],[Date Terminated]], "YYYY-MM-dd"))</f>
        <v>2026-08-16</v>
      </c>
      <c r="G23" t="str">
        <f>IF(Growing[[#This Row],[Root Length (mm)]]="", "", IFERROR(VALUE(Growing[[#This Row],[Root Length (mm)]]), ""))</f>
        <v/>
      </c>
      <c r="H23" t="str">
        <f>IFERROR(VALUE(DATEVALUE(vLS_1[[#This Row],[Date Terminated]])-DATEVALUE(vLS_1[[#This Row],[Transplant Date]])), "")</f>
        <v/>
      </c>
      <c r="I23" t="str">
        <f>IFERROR(ROUND(vLS_1[[#This Row],[Final Root Length (mm)]]/vLS_1[[#This Row],[Days Between]], 2), "")</f>
        <v/>
      </c>
      <c r="J23">
        <f>IF(AND(ISNUMBER(vLS_1[[#This Row],[Final Root Length (mm)]]),ISNUMBER(vLS_1[[#This Row],[Days Between]]),vLS_1[[#This Row],[Days Between]]&gt;0,ISNUMBER(vLS_1[[#This Row],[Fertilizer Added (g)]])), 1, 0)</f>
        <v>0</v>
      </c>
      <c r="N23" s="17" t="str" cm="1">
        <f t="array" aca="1" ref="N23" ca="1">_xlfn.LET(_xlpm.value, OFFSET(INDIRECT(ADDRESS(ROW(),COLUMN())),0,-2), IF(_xlpm.value="","",_xlpm.value))</f>
        <v/>
      </c>
      <c r="O23" s="17" t="str" cm="1">
        <f t="array" aca="1" ref="O23" ca="1">_xlfn.LET(_xlpm.value, OFFSET(INDIRECT(ADDRESS(ROW(),COLUMN())),0,-2), IF(_xlpm.value="","",_xlpm.value))</f>
        <v/>
      </c>
      <c r="P23" s="17" t="str">
        <f ca="1">IFERROR(ROUND(AVERAGEIFS(vLS_1[Root Length per Day (mm/day)],vLS_1[Seed],vLS_2[[#This Row],[Seed]], vLS_1[Fertilizer Added (g)], vLS_2[[#This Row],[Fertilizer Added (g)]]), 2), "")</f>
        <v/>
      </c>
    </row>
    <row r="24" spans="1:16">
      <c r="A24" t="str" cm="1">
        <f t="array" ref="A24">_xlfn.LET(
    _xlpm.value, INDEX(Growing[Seeding Jar], ROW()-ROW(Growing[#Headers])),
    IF(_xlpm.value="", "", _xlpm.value)
)</f>
        <v>14</v>
      </c>
      <c r="B24" t="e">
        <f>IF(vLS_1[[#This Row],[Seeding Jar]]="", "", VALUE( _xlfn.XLOOKUP(SUBSTITUTE(vLS_1[[#This Row],[Seeding Jar]], "*", ""), Jars[Jar],#REF!)))</f>
        <v>#REF!</v>
      </c>
      <c r="C24" t="str">
        <f>TRIM(Growing[[#This Row],[Seed]])</f>
        <v>3059JP.65</v>
      </c>
      <c r="D24" t="str">
        <f>IF(Growing[[#This Row],[Date Seeded]]="", "", TEXT(Growing[[#This Row],[Date Seeded]], "YYYY-MM-dd"))</f>
        <v>Unknown</v>
      </c>
      <c r="E24" t="str">
        <f>IF(Growing[[#This Row],[Transplant Date]]="", "", TEXT(Growing[[#This Row],[Transplant Date]], "YYYY-MM-dd"))</f>
        <v>None</v>
      </c>
      <c r="F24" t="str">
        <f>IF(Growing[[#This Row],[Date Terminated]]="", "", TEXT(Growing[[#This Row],[Date Terminated]], "YYYY-MM-dd"))</f>
        <v>2026-08-16</v>
      </c>
      <c r="G24" t="str">
        <f>IF(Growing[[#This Row],[Root Length (mm)]]="", "", IFERROR(VALUE(Growing[[#This Row],[Root Length (mm)]]), ""))</f>
        <v/>
      </c>
      <c r="H24" t="str">
        <f>IFERROR(VALUE(DATEVALUE(vLS_1[[#This Row],[Date Terminated]])-DATEVALUE(vLS_1[[#This Row],[Transplant Date]])), "")</f>
        <v/>
      </c>
      <c r="I24" t="str">
        <f>IFERROR(ROUND(vLS_1[[#This Row],[Final Root Length (mm)]]/vLS_1[[#This Row],[Days Between]], 2), "")</f>
        <v/>
      </c>
      <c r="J24">
        <f>IF(AND(ISNUMBER(vLS_1[[#This Row],[Final Root Length (mm)]]),ISNUMBER(vLS_1[[#This Row],[Days Between]]),vLS_1[[#This Row],[Days Between]]&gt;0,ISNUMBER(vLS_1[[#This Row],[Fertilizer Added (g)]])), 1, 0)</f>
        <v>0</v>
      </c>
      <c r="N24" s="17" t="str" cm="1">
        <f t="array" aca="1" ref="N24" ca="1">_xlfn.LET(_xlpm.value, OFFSET(INDIRECT(ADDRESS(ROW(),COLUMN())),0,-2), IF(_xlpm.value="","",_xlpm.value))</f>
        <v/>
      </c>
      <c r="O24" s="17" t="str" cm="1">
        <f t="array" aca="1" ref="O24" ca="1">_xlfn.LET(_xlpm.value, OFFSET(INDIRECT(ADDRESS(ROW(),COLUMN())),0,-2), IF(_xlpm.value="","",_xlpm.value))</f>
        <v/>
      </c>
      <c r="P24" s="17" t="str">
        <f ca="1">IFERROR(ROUND(AVERAGEIFS(vLS_1[Root Length per Day (mm/day)],vLS_1[Seed],vLS_2[[#This Row],[Seed]], vLS_1[Fertilizer Added (g)], vLS_2[[#This Row],[Fertilizer Added (g)]]), 2), "")</f>
        <v/>
      </c>
    </row>
    <row r="25" spans="1:16">
      <c r="A25" t="str" cm="1">
        <f t="array" ref="A25">_xlfn.LET(
    _xlpm.value, INDEX(Growing[Seeding Jar], ROW()-ROW(Growing[#Headers])),
    IF(_xlpm.value="", "", _xlpm.value)
)</f>
        <v>15</v>
      </c>
      <c r="B25" t="e">
        <f>IF(vLS_1[[#This Row],[Seeding Jar]]="", "", VALUE( _xlfn.XLOOKUP(SUBSTITUTE(vLS_1[[#This Row],[Seeding Jar]], "*", ""), Jars[Jar],#REF!)))</f>
        <v>#REF!</v>
      </c>
      <c r="C25" t="str">
        <f>TRIM(Growing[[#This Row],[Seed]])</f>
        <v>2178GP.53</v>
      </c>
      <c r="D25" t="str">
        <f>IF(Growing[[#This Row],[Date Seeded]]="", "", TEXT(Growing[[#This Row],[Date Seeded]], "YYYY-MM-dd"))</f>
        <v>Unknown</v>
      </c>
      <c r="E25" t="str">
        <f>IF(Growing[[#This Row],[Transplant Date]]="", "", TEXT(Growing[[#This Row],[Transplant Date]], "YYYY-MM-dd"))</f>
        <v>None</v>
      </c>
      <c r="F25" t="str">
        <f>IF(Growing[[#This Row],[Date Terminated]]="", "", TEXT(Growing[[#This Row],[Date Terminated]], "YYYY-MM-dd"))</f>
        <v>2026-07-14</v>
      </c>
      <c r="G25" t="str">
        <f>IF(Growing[[#This Row],[Root Length (mm)]]="", "", IFERROR(VALUE(Growing[[#This Row],[Root Length (mm)]]), ""))</f>
        <v/>
      </c>
      <c r="H25" t="str">
        <f>IFERROR(VALUE(DATEVALUE(vLS_1[[#This Row],[Date Terminated]])-DATEVALUE(vLS_1[[#This Row],[Transplant Date]])), "")</f>
        <v/>
      </c>
      <c r="I25" t="str">
        <f>IFERROR(ROUND(vLS_1[[#This Row],[Final Root Length (mm)]]/vLS_1[[#This Row],[Days Between]], 2), "")</f>
        <v/>
      </c>
      <c r="J25">
        <f>IF(AND(ISNUMBER(vLS_1[[#This Row],[Final Root Length (mm)]]),ISNUMBER(vLS_1[[#This Row],[Days Between]]),vLS_1[[#This Row],[Days Between]]&gt;0,ISNUMBER(vLS_1[[#This Row],[Fertilizer Added (g)]])), 1, 0)</f>
        <v>0</v>
      </c>
      <c r="N25" s="17" t="str" cm="1">
        <f t="array" aca="1" ref="N25" ca="1">_xlfn.LET(_xlpm.value, OFFSET(INDIRECT(ADDRESS(ROW(),COLUMN())),0,-2), IF(_xlpm.value="","",_xlpm.value))</f>
        <v/>
      </c>
      <c r="O25" s="17" t="str" cm="1">
        <f t="array" aca="1" ref="O25" ca="1">_xlfn.LET(_xlpm.value, OFFSET(INDIRECT(ADDRESS(ROW(),COLUMN())),0,-2), IF(_xlpm.value="","",_xlpm.value))</f>
        <v/>
      </c>
      <c r="P25" s="17" t="str">
        <f ca="1">IFERROR(ROUND(AVERAGEIFS(vLS_1[Root Length per Day (mm/day)],vLS_1[Seed],vLS_2[[#This Row],[Seed]], vLS_1[Fertilizer Added (g)], vLS_2[[#This Row],[Fertilizer Added (g)]]), 2), "")</f>
        <v/>
      </c>
    </row>
    <row r="26" spans="1:16">
      <c r="A26" t="str" cm="1">
        <f t="array" ref="A26">_xlfn.LET(
    _xlpm.value, INDEX(Growing[Seeding Jar], ROW()-ROW(Growing[#Headers])),
    IF(_xlpm.value="", "", _xlpm.value)
)</f>
        <v>16</v>
      </c>
      <c r="B26" t="e">
        <f>IF(vLS_1[[#This Row],[Seeding Jar]]="", "", VALUE( _xlfn.XLOOKUP(SUBSTITUTE(vLS_1[[#This Row],[Seeding Jar]], "*", ""), Jars[Jar],#REF!)))</f>
        <v>#REF!</v>
      </c>
      <c r="C26" t="str">
        <f>TRIM(Growing[[#This Row],[Seed]])</f>
        <v>2178GP.53</v>
      </c>
      <c r="D26" t="str">
        <f>IF(Growing[[#This Row],[Date Seeded]]="", "", TEXT(Growing[[#This Row],[Date Seeded]], "YYYY-MM-dd"))</f>
        <v>Unknown</v>
      </c>
      <c r="E26" t="str">
        <f>IF(Growing[[#This Row],[Transplant Date]]="", "", TEXT(Growing[[#This Row],[Transplant Date]], "YYYY-MM-dd"))</f>
        <v>None</v>
      </c>
      <c r="F26" t="str">
        <f>IF(Growing[[#This Row],[Date Terminated]]="", "", TEXT(Growing[[#This Row],[Date Terminated]], "YYYY-MM-dd"))</f>
        <v>2026-08-16</v>
      </c>
      <c r="G26" t="str">
        <f>IF(Growing[[#This Row],[Root Length (mm)]]="", "", IFERROR(VALUE(Growing[[#This Row],[Root Length (mm)]]), ""))</f>
        <v/>
      </c>
      <c r="H26" t="str">
        <f>IFERROR(VALUE(DATEVALUE(vLS_1[[#This Row],[Date Terminated]])-DATEVALUE(vLS_1[[#This Row],[Transplant Date]])), "")</f>
        <v/>
      </c>
      <c r="I26" t="str">
        <f>IFERROR(ROUND(vLS_1[[#This Row],[Final Root Length (mm)]]/vLS_1[[#This Row],[Days Between]], 2), "")</f>
        <v/>
      </c>
      <c r="J26">
        <f>IF(AND(ISNUMBER(vLS_1[[#This Row],[Final Root Length (mm)]]),ISNUMBER(vLS_1[[#This Row],[Days Between]]),vLS_1[[#This Row],[Days Between]]&gt;0,ISNUMBER(vLS_1[[#This Row],[Fertilizer Added (g)]])), 1, 0)</f>
        <v>0</v>
      </c>
      <c r="N26" s="17" t="str" cm="1">
        <f t="array" aca="1" ref="N26" ca="1">_xlfn.LET(_xlpm.value, OFFSET(INDIRECT(ADDRESS(ROW(),COLUMN())),0,-2), IF(_xlpm.value="","",_xlpm.value))</f>
        <v/>
      </c>
      <c r="O26" s="17" t="str" cm="1">
        <f t="array" aca="1" ref="O26" ca="1">_xlfn.LET(_xlpm.value, OFFSET(INDIRECT(ADDRESS(ROW(),COLUMN())),0,-2), IF(_xlpm.value="","",_xlpm.value))</f>
        <v/>
      </c>
      <c r="P26" s="17" t="str">
        <f ca="1">IFERROR(ROUND(AVERAGEIFS(vLS_1[Root Length per Day (mm/day)],vLS_1[Seed],vLS_2[[#This Row],[Seed]], vLS_1[Fertilizer Added (g)], vLS_2[[#This Row],[Fertilizer Added (g)]]), 2), "")</f>
        <v/>
      </c>
    </row>
    <row r="27" spans="1:16">
      <c r="A27" t="str" cm="1">
        <f t="array" ref="A27">_xlfn.LET(
    _xlpm.value, INDEX(Growing[Seeding Jar], ROW()-ROW(Growing[#Headers])),
    IF(_xlpm.value="", "", _xlpm.value)
)</f>
        <v>17</v>
      </c>
      <c r="B27" t="e">
        <f>IF(vLS_1[[#This Row],[Seeding Jar]]="", "", VALUE( _xlfn.XLOOKUP(SUBSTITUTE(vLS_1[[#This Row],[Seeding Jar]], "*", ""), Jars[Jar],#REF!)))</f>
        <v>#REF!</v>
      </c>
      <c r="C27" t="str">
        <f>TRIM(Growing[[#This Row],[Seed]])</f>
        <v>2178GP.53</v>
      </c>
      <c r="D27" t="str">
        <f>IF(Growing[[#This Row],[Date Seeded]]="", "", TEXT(Growing[[#This Row],[Date Seeded]], "YYYY-MM-dd"))</f>
        <v>Unknown</v>
      </c>
      <c r="E27" t="str">
        <f>IF(Growing[[#This Row],[Transplant Date]]="", "", TEXT(Growing[[#This Row],[Transplant Date]], "YYYY-MM-dd"))</f>
        <v>None</v>
      </c>
      <c r="F27" t="str">
        <f>IF(Growing[[#This Row],[Date Terminated]]="", "", TEXT(Growing[[#This Row],[Date Terminated]], "YYYY-MM-dd"))</f>
        <v>2026-07-14</v>
      </c>
      <c r="G27" t="str">
        <f>IF(Growing[[#This Row],[Root Length (mm)]]="", "", IFERROR(VALUE(Growing[[#This Row],[Root Length (mm)]]), ""))</f>
        <v/>
      </c>
      <c r="H27" t="str">
        <f>IFERROR(VALUE(DATEVALUE(vLS_1[[#This Row],[Date Terminated]])-DATEVALUE(vLS_1[[#This Row],[Transplant Date]])), "")</f>
        <v/>
      </c>
      <c r="I27" t="str">
        <f>IFERROR(ROUND(vLS_1[[#This Row],[Final Root Length (mm)]]/vLS_1[[#This Row],[Days Between]], 2), "")</f>
        <v/>
      </c>
      <c r="J27">
        <f>IF(AND(ISNUMBER(vLS_1[[#This Row],[Final Root Length (mm)]]),ISNUMBER(vLS_1[[#This Row],[Days Between]]),vLS_1[[#This Row],[Days Between]]&gt;0,ISNUMBER(vLS_1[[#This Row],[Fertilizer Added (g)]])), 1, 0)</f>
        <v>0</v>
      </c>
      <c r="N27" s="17" t="str" cm="1">
        <f t="array" aca="1" ref="N27" ca="1">_xlfn.LET(_xlpm.value, OFFSET(INDIRECT(ADDRESS(ROW(),COLUMN())),0,-2), IF(_xlpm.value="","",_xlpm.value))</f>
        <v/>
      </c>
      <c r="O27" s="17" t="str" cm="1">
        <f t="array" aca="1" ref="O27" ca="1">_xlfn.LET(_xlpm.value, OFFSET(INDIRECT(ADDRESS(ROW(),COLUMN())),0,-2), IF(_xlpm.value="","",_xlpm.value))</f>
        <v/>
      </c>
      <c r="P27" s="17" t="str">
        <f ca="1">IFERROR(ROUND(AVERAGEIFS(vLS_1[Root Length per Day (mm/day)],vLS_1[Seed],vLS_2[[#This Row],[Seed]], vLS_1[Fertilizer Added (g)], vLS_2[[#This Row],[Fertilizer Added (g)]]), 2), "")</f>
        <v/>
      </c>
    </row>
    <row r="28" spans="1:16">
      <c r="A28" t="str" cm="1">
        <f t="array" ref="A28">_xlfn.LET(
    _xlpm.value, INDEX(Growing[Seeding Jar], ROW()-ROW(Growing[#Headers])),
    IF(_xlpm.value="", "", _xlpm.value)
)</f>
        <v>22</v>
      </c>
      <c r="B28" t="e">
        <f>IF(vLS_1[[#This Row],[Seeding Jar]]="", "", VALUE( _xlfn.XLOOKUP(SUBSTITUTE(vLS_1[[#This Row],[Seeding Jar]], "*", ""), Jars[Jar],#REF!)))</f>
        <v>#REF!</v>
      </c>
      <c r="C28" t="str">
        <f>TRIM(Growing[[#This Row],[Seed]])</f>
        <v>2178GP.53</v>
      </c>
      <c r="D28" t="str">
        <f>IF(Growing[[#This Row],[Date Seeded]]="", "", TEXT(Growing[[#This Row],[Date Seeded]], "YYYY-MM-dd"))</f>
        <v>2026-08-28</v>
      </c>
      <c r="E28" t="str">
        <f>IF(Growing[[#This Row],[Transplant Date]]="", "", TEXT(Growing[[#This Row],[Transplant Date]], "YYYY-MM-dd"))</f>
        <v>None</v>
      </c>
      <c r="F28" t="str">
        <f>IF(Growing[[#This Row],[Date Terminated]]="", "", TEXT(Growing[[#This Row],[Date Terminated]], "YYYY-MM-dd"))</f>
        <v/>
      </c>
      <c r="G28" t="str">
        <f>IF(Growing[[#This Row],[Root Length (mm)]]="", "", IFERROR(VALUE(Growing[[#This Row],[Root Length (mm)]]), ""))</f>
        <v/>
      </c>
      <c r="H28" t="str">
        <f>IFERROR(VALUE(DATEVALUE(vLS_1[[#This Row],[Date Terminated]])-DATEVALUE(vLS_1[[#This Row],[Transplant Date]])), "")</f>
        <v/>
      </c>
      <c r="I28" t="str">
        <f>IFERROR(ROUND(vLS_1[[#This Row],[Final Root Length (mm)]]/vLS_1[[#This Row],[Days Between]], 2), "")</f>
        <v/>
      </c>
      <c r="J28">
        <f>IF(AND(ISNUMBER(vLS_1[[#This Row],[Final Root Length (mm)]]),ISNUMBER(vLS_1[[#This Row],[Days Between]]),vLS_1[[#This Row],[Days Between]]&gt;0,ISNUMBER(vLS_1[[#This Row],[Fertilizer Added (g)]])), 1, 0)</f>
        <v>0</v>
      </c>
      <c r="N28" s="17" t="str" cm="1">
        <f t="array" aca="1" ref="N28" ca="1">_xlfn.LET(_xlpm.value, OFFSET(INDIRECT(ADDRESS(ROW(),COLUMN())),0,-2), IF(_xlpm.value="","",_xlpm.value))</f>
        <v/>
      </c>
      <c r="O28" s="17" t="str" cm="1">
        <f t="array" aca="1" ref="O28" ca="1">_xlfn.LET(_xlpm.value, OFFSET(INDIRECT(ADDRESS(ROW(),COLUMN())),0,-2), IF(_xlpm.value="","",_xlpm.value))</f>
        <v/>
      </c>
      <c r="P28" s="17" t="str">
        <f ca="1">IFERROR(ROUND(AVERAGEIFS(vLS_1[Root Length per Day (mm/day)],vLS_1[Seed],vLS_2[[#This Row],[Seed]], vLS_1[Fertilizer Added (g)], vLS_2[[#This Row],[Fertilizer Added (g)]]), 2), "")</f>
        <v/>
      </c>
    </row>
    <row r="29" spans="1:16">
      <c r="A29" t="str" cm="1">
        <f t="array" ref="A29">_xlfn.LET(
    _xlpm.value, INDEX(Growing[Seeding Jar], ROW()-ROW(Growing[#Headers])),
    IF(_xlpm.value="", "", _xlpm.value)
)</f>
        <v>23</v>
      </c>
      <c r="B29" t="e">
        <f>IF(vLS_1[[#This Row],[Seeding Jar]]="", "", VALUE( _xlfn.XLOOKUP(SUBSTITUTE(vLS_1[[#This Row],[Seeding Jar]], "*", ""), Jars[Jar],#REF!)))</f>
        <v>#REF!</v>
      </c>
      <c r="C29" t="str">
        <f>TRIM(Growing[[#This Row],[Seed]])</f>
        <v>2178GP.53</v>
      </c>
      <c r="D29" t="str">
        <f>IF(Growing[[#This Row],[Date Seeded]]="", "", TEXT(Growing[[#This Row],[Date Seeded]], "YYYY-MM-dd"))</f>
        <v>2026-08-28</v>
      </c>
      <c r="E29" t="str">
        <f>IF(Growing[[#This Row],[Transplant Date]]="", "", TEXT(Growing[[#This Row],[Transplant Date]], "YYYY-MM-dd"))</f>
        <v>2026-09-08</v>
      </c>
      <c r="F29" t="str">
        <f>IF(Growing[[#This Row],[Date Terminated]]="", "", TEXT(Growing[[#This Row],[Date Terminated]], "YYYY-MM-dd"))</f>
        <v/>
      </c>
      <c r="G29" t="str">
        <f>IF(Growing[[#This Row],[Root Length (mm)]]="", "", IFERROR(VALUE(Growing[[#This Row],[Root Length (mm)]]), ""))</f>
        <v/>
      </c>
      <c r="H29" t="str">
        <f>IFERROR(VALUE(DATEVALUE(vLS_1[[#This Row],[Date Terminated]])-DATEVALUE(vLS_1[[#This Row],[Transplant Date]])), "")</f>
        <v/>
      </c>
      <c r="I29" t="str">
        <f>IFERROR(ROUND(vLS_1[[#This Row],[Final Root Length (mm)]]/vLS_1[[#This Row],[Days Between]], 2), "")</f>
        <v/>
      </c>
      <c r="J29">
        <f>IF(AND(ISNUMBER(vLS_1[[#This Row],[Final Root Length (mm)]]),ISNUMBER(vLS_1[[#This Row],[Days Between]]),vLS_1[[#This Row],[Days Between]]&gt;0,ISNUMBER(vLS_1[[#This Row],[Fertilizer Added (g)]])), 1, 0)</f>
        <v>0</v>
      </c>
      <c r="N29" s="17" t="str" cm="1">
        <f t="array" aca="1" ref="N29" ca="1">_xlfn.LET(_xlpm.value, OFFSET(INDIRECT(ADDRESS(ROW(),COLUMN())),0,-2), IF(_xlpm.value="","",_xlpm.value))</f>
        <v/>
      </c>
      <c r="O29" s="17" t="str" cm="1">
        <f t="array" aca="1" ref="O29" ca="1">_xlfn.LET(_xlpm.value, OFFSET(INDIRECT(ADDRESS(ROW(),COLUMN())),0,-2), IF(_xlpm.value="","",_xlpm.value))</f>
        <v/>
      </c>
      <c r="P29" s="17" t="str">
        <f ca="1">IFERROR(ROUND(AVERAGEIFS(vLS_1[Root Length per Day (mm/day)],vLS_1[Seed],vLS_2[[#This Row],[Seed]], vLS_1[Fertilizer Added (g)], vLS_2[[#This Row],[Fertilizer Added (g)]]), 2), "")</f>
        <v/>
      </c>
    </row>
    <row r="30" spans="1:16">
      <c r="A30" t="str" cm="1">
        <f t="array" ref="A30">_xlfn.LET(
    _xlpm.value, INDEX(Growing[Seeding Jar], ROW()-ROW(Growing[#Headers])),
    IF(_xlpm.value="", "", _xlpm.value)
)</f>
        <v>24</v>
      </c>
      <c r="B30" t="e">
        <f>IF(vLS_1[[#This Row],[Seeding Jar]]="", "", VALUE( _xlfn.XLOOKUP(SUBSTITUTE(vLS_1[[#This Row],[Seeding Jar]], "*", ""), Jars[Jar],#REF!)))</f>
        <v>#REF!</v>
      </c>
      <c r="C30" t="str">
        <f>TRIM(Growing[[#This Row],[Seed]])</f>
        <v>2178GP.53</v>
      </c>
      <c r="D30" t="str">
        <f>IF(Growing[[#This Row],[Date Seeded]]="", "", TEXT(Growing[[#This Row],[Date Seeded]], "YYYY-MM-dd"))</f>
        <v>2026-09-01</v>
      </c>
      <c r="E30" t="str">
        <f>IF(Growing[[#This Row],[Transplant Date]]="", "", TEXT(Growing[[#This Row],[Transplant Date]], "YYYY-MM-dd"))</f>
        <v>2026-09-11</v>
      </c>
      <c r="F30" t="str">
        <f>IF(Growing[[#This Row],[Date Terminated]]="", "", TEXT(Growing[[#This Row],[Date Terminated]], "YYYY-MM-dd"))</f>
        <v/>
      </c>
      <c r="G30" t="str">
        <f>IF(Growing[[#This Row],[Root Length (mm)]]="", "", IFERROR(VALUE(Growing[[#This Row],[Root Length (mm)]]), ""))</f>
        <v/>
      </c>
      <c r="H30" t="str">
        <f>IFERROR(VALUE(DATEVALUE(vLS_1[[#This Row],[Date Terminated]])-DATEVALUE(vLS_1[[#This Row],[Transplant Date]])), "")</f>
        <v/>
      </c>
      <c r="I30" t="str">
        <f>IFERROR(ROUND(vLS_1[[#This Row],[Final Root Length (mm)]]/vLS_1[[#This Row],[Days Between]], 2), "")</f>
        <v/>
      </c>
      <c r="J30">
        <f>IF(AND(ISNUMBER(vLS_1[[#This Row],[Final Root Length (mm)]]),ISNUMBER(vLS_1[[#This Row],[Days Between]]),vLS_1[[#This Row],[Days Between]]&gt;0,ISNUMBER(vLS_1[[#This Row],[Fertilizer Added (g)]])), 1, 0)</f>
        <v>0</v>
      </c>
      <c r="N30" s="17" t="str" cm="1">
        <f t="array" aca="1" ref="N30" ca="1">_xlfn.LET(_xlpm.value, OFFSET(INDIRECT(ADDRESS(ROW(),COLUMN())),0,-2), IF(_xlpm.value="","",_xlpm.value))</f>
        <v/>
      </c>
      <c r="O30" s="17" t="str" cm="1">
        <f t="array" aca="1" ref="O30" ca="1">_xlfn.LET(_xlpm.value, OFFSET(INDIRECT(ADDRESS(ROW(),COLUMN())),0,-2), IF(_xlpm.value="","",_xlpm.value))</f>
        <v/>
      </c>
      <c r="P30" s="17" t="str">
        <f ca="1">IFERROR(ROUND(AVERAGEIFS(vLS_1[Root Length per Day (mm/day)],vLS_1[Seed],vLS_2[[#This Row],[Seed]], vLS_1[Fertilizer Added (g)], vLS_2[[#This Row],[Fertilizer Added (g)]]), 2), "")</f>
        <v/>
      </c>
    </row>
    <row r="31" spans="1:16">
      <c r="A31" t="str" cm="1">
        <f t="array" ref="A31">_xlfn.LET(
    _xlpm.value, INDEX(Growing[Seeding Jar], ROW()-ROW(Growing[#Headers])),
    IF(_xlpm.value="", "", _xlpm.value)
)</f>
        <v>25</v>
      </c>
      <c r="B31" t="e">
        <f>IF(vLS_1[[#This Row],[Seeding Jar]]="", "", VALUE( _xlfn.XLOOKUP(SUBSTITUTE(vLS_1[[#This Row],[Seeding Jar]], "*", ""), Jars[Jar],#REF!)))</f>
        <v>#REF!</v>
      </c>
      <c r="C31" t="str">
        <f>TRIM(Growing[[#This Row],[Seed]])</f>
        <v>2178GP.53</v>
      </c>
      <c r="D31" t="str">
        <f>IF(Growing[[#This Row],[Date Seeded]]="", "", TEXT(Growing[[#This Row],[Date Seeded]], "YYYY-MM-dd"))</f>
        <v>2026-09-04</v>
      </c>
      <c r="E31" t="str">
        <f>IF(Growing[[#This Row],[Transplant Date]]="", "", TEXT(Growing[[#This Row],[Transplant Date]], "YYYY-MM-dd"))</f>
        <v>2026-09-14</v>
      </c>
      <c r="F31" t="str">
        <f>IF(Growing[[#This Row],[Date Terminated]]="", "", TEXT(Growing[[#This Row],[Date Terminated]], "YYYY-MM-dd"))</f>
        <v/>
      </c>
      <c r="G31" t="str">
        <f>IF(Growing[[#This Row],[Root Length (mm)]]="", "", IFERROR(VALUE(Growing[[#This Row],[Root Length (mm)]]), ""))</f>
        <v/>
      </c>
      <c r="H31" t="str">
        <f>IFERROR(VALUE(DATEVALUE(vLS_1[[#This Row],[Date Terminated]])-DATEVALUE(vLS_1[[#This Row],[Transplant Date]])), "")</f>
        <v/>
      </c>
      <c r="I31" t="str">
        <f>IFERROR(ROUND(vLS_1[[#This Row],[Final Root Length (mm)]]/vLS_1[[#This Row],[Days Between]], 2), "")</f>
        <v/>
      </c>
      <c r="J31">
        <f>IF(AND(ISNUMBER(vLS_1[[#This Row],[Final Root Length (mm)]]),ISNUMBER(vLS_1[[#This Row],[Days Between]]),vLS_1[[#This Row],[Days Between]]&gt;0,ISNUMBER(vLS_1[[#This Row],[Fertilizer Added (g)]])), 1, 0)</f>
        <v>0</v>
      </c>
      <c r="N31" s="17" t="str" cm="1">
        <f t="array" aca="1" ref="N31" ca="1">_xlfn.LET(_xlpm.value, OFFSET(INDIRECT(ADDRESS(ROW(),COLUMN())),0,-2), IF(_xlpm.value="","",_xlpm.value))</f>
        <v/>
      </c>
      <c r="O31" s="17" t="str" cm="1">
        <f t="array" aca="1" ref="O31" ca="1">_xlfn.LET(_xlpm.value, OFFSET(INDIRECT(ADDRESS(ROW(),COLUMN())),0,-2), IF(_xlpm.value="","",_xlpm.value))</f>
        <v/>
      </c>
      <c r="P31" s="17" t="str">
        <f ca="1">IFERROR(ROUND(AVERAGEIFS(vLS_1[Root Length per Day (mm/day)],vLS_1[Seed],vLS_2[[#This Row],[Seed]], vLS_1[Fertilizer Added (g)], vLS_2[[#This Row],[Fertilizer Added (g)]]), 2), "")</f>
        <v/>
      </c>
    </row>
    <row r="32" spans="1:16">
      <c r="A32" t="str" cm="1">
        <f t="array" ref="A32">_xlfn.LET(
    _xlpm.value, INDEX(Growing[Seeding Jar], ROW()-ROW(Growing[#Headers])),
    IF(_xlpm.value="", "", _xlpm.value)
)</f>
        <v>26</v>
      </c>
      <c r="B32" t="e">
        <f>IF(vLS_1[[#This Row],[Seeding Jar]]="", "", VALUE( _xlfn.XLOOKUP(SUBSTITUTE(vLS_1[[#This Row],[Seeding Jar]], "*", ""), Jars[Jar],#REF!)))</f>
        <v>#REF!</v>
      </c>
      <c r="C32" t="str">
        <f>TRIM(Growing[[#This Row],[Seed]])</f>
        <v>2178GP.53</v>
      </c>
      <c r="D32" t="str">
        <f>IF(Growing[[#This Row],[Date Seeded]]="", "", TEXT(Growing[[#This Row],[Date Seeded]], "YYYY-MM-dd"))</f>
        <v>2026-09-04</v>
      </c>
      <c r="E32" t="str">
        <f>IF(Growing[[#This Row],[Transplant Date]]="", "", TEXT(Growing[[#This Row],[Transplant Date]], "YYYY-MM-dd"))</f>
        <v>None</v>
      </c>
      <c r="F32" t="str">
        <f>IF(Growing[[#This Row],[Date Terminated]]="", "", TEXT(Growing[[#This Row],[Date Terminated]], "YYYY-MM-dd"))</f>
        <v/>
      </c>
      <c r="G32" t="str">
        <f>IF(Growing[[#This Row],[Root Length (mm)]]="", "", IFERROR(VALUE(Growing[[#This Row],[Root Length (mm)]]), ""))</f>
        <v/>
      </c>
      <c r="H32" t="str">
        <f>IFERROR(VALUE(DATEVALUE(vLS_1[[#This Row],[Date Terminated]])-DATEVALUE(vLS_1[[#This Row],[Transplant Date]])), "")</f>
        <v/>
      </c>
      <c r="I32" t="str">
        <f>IFERROR(ROUND(vLS_1[[#This Row],[Final Root Length (mm)]]/vLS_1[[#This Row],[Days Between]], 2), "")</f>
        <v/>
      </c>
      <c r="J32">
        <f>IF(AND(ISNUMBER(vLS_1[[#This Row],[Final Root Length (mm)]]),ISNUMBER(vLS_1[[#This Row],[Days Between]]),vLS_1[[#This Row],[Days Between]]&gt;0,ISNUMBER(vLS_1[[#This Row],[Fertilizer Added (g)]])), 1, 0)</f>
        <v>0</v>
      </c>
      <c r="N32" s="17" t="str" cm="1">
        <f t="array" aca="1" ref="N32" ca="1">_xlfn.LET(_xlpm.value, OFFSET(INDIRECT(ADDRESS(ROW(),COLUMN())),0,-2), IF(_xlpm.value="","",_xlpm.value))</f>
        <v/>
      </c>
      <c r="O32" s="17" t="str" cm="1">
        <f t="array" aca="1" ref="O32" ca="1">_xlfn.LET(_xlpm.value, OFFSET(INDIRECT(ADDRESS(ROW(),COLUMN())),0,-2), IF(_xlpm.value="","",_xlpm.value))</f>
        <v/>
      </c>
      <c r="P32" s="17" t="str">
        <f ca="1">IFERROR(ROUND(AVERAGEIFS(vLS_1[Root Length per Day (mm/day)],vLS_1[Seed],vLS_2[[#This Row],[Seed]], vLS_1[Fertilizer Added (g)], vLS_2[[#This Row],[Fertilizer Added (g)]]), 2), "")</f>
        <v/>
      </c>
    </row>
    <row r="33" spans="1:16">
      <c r="A33" t="str" cm="1">
        <f t="array" ref="A33">_xlfn.LET(
    _xlpm.value, INDEX(Growing[Seeding Jar], ROW()-ROW(Growing[#Headers])),
    IF(_xlpm.value="", "", _xlpm.value)
)</f>
        <v>23*</v>
      </c>
      <c r="B33" t="e">
        <f>IF(vLS_1[[#This Row],[Seeding Jar]]="", "", VALUE( _xlfn.XLOOKUP(SUBSTITUTE(vLS_1[[#This Row],[Seeding Jar]], "*", ""), Jars[Jar],#REF!)))</f>
        <v>#REF!</v>
      </c>
      <c r="C33" t="str">
        <f>TRIM(Growing[[#This Row],[Seed]])</f>
        <v>2178GP.53</v>
      </c>
      <c r="D33" t="str">
        <f>IF(Growing[[#This Row],[Date Seeded]]="", "", TEXT(Growing[[#This Row],[Date Seeded]], "YYYY-MM-dd"))</f>
        <v>2026-09-08</v>
      </c>
      <c r="E33" t="str">
        <f>IF(Growing[[#This Row],[Transplant Date]]="", "", TEXT(Growing[[#This Row],[Transplant Date]], "YYYY-MM-dd"))</f>
        <v>2026-09-21</v>
      </c>
      <c r="F33" t="str">
        <f>IF(Growing[[#This Row],[Date Terminated]]="", "", TEXT(Growing[[#This Row],[Date Terminated]], "YYYY-MM-dd"))</f>
        <v/>
      </c>
      <c r="G33" t="str">
        <f>IF(Growing[[#This Row],[Root Length (mm)]]="", "", IFERROR(VALUE(Growing[[#This Row],[Root Length (mm)]]), ""))</f>
        <v/>
      </c>
      <c r="H33" t="str">
        <f>IFERROR(VALUE(DATEVALUE(vLS_1[[#This Row],[Date Terminated]])-DATEVALUE(vLS_1[[#This Row],[Transplant Date]])), "")</f>
        <v/>
      </c>
      <c r="I33" t="str">
        <f>IFERROR(ROUND(vLS_1[[#This Row],[Final Root Length (mm)]]/vLS_1[[#This Row],[Days Between]], 2), "")</f>
        <v/>
      </c>
      <c r="J33">
        <f>IF(AND(ISNUMBER(vLS_1[[#This Row],[Final Root Length (mm)]]),ISNUMBER(vLS_1[[#This Row],[Days Between]]),vLS_1[[#This Row],[Days Between]]&gt;0,ISNUMBER(vLS_1[[#This Row],[Fertilizer Added (g)]])), 1, 0)</f>
        <v>0</v>
      </c>
      <c r="N33" s="17" t="str" cm="1">
        <f t="array" aca="1" ref="N33" ca="1">_xlfn.LET(_xlpm.value, OFFSET(INDIRECT(ADDRESS(ROW(),COLUMN())),0,-2), IF(_xlpm.value="","",_xlpm.value))</f>
        <v/>
      </c>
      <c r="O33" s="17" t="str" cm="1">
        <f t="array" aca="1" ref="O33" ca="1">_xlfn.LET(_xlpm.value, OFFSET(INDIRECT(ADDRESS(ROW(),COLUMN())),0,-2), IF(_xlpm.value="","",_xlpm.value))</f>
        <v/>
      </c>
      <c r="P33" s="17" t="str">
        <f ca="1">IFERROR(ROUND(AVERAGEIFS(vLS_1[Root Length per Day (mm/day)],vLS_1[Seed],vLS_2[[#This Row],[Seed]], vLS_1[Fertilizer Added (g)], vLS_2[[#This Row],[Fertilizer Added (g)]]), 2), "")</f>
        <v/>
      </c>
    </row>
    <row r="34" spans="1:16">
      <c r="A34" t="str" cm="1">
        <f t="array" ref="A34">_xlfn.LET(
    _xlpm.value, INDEX(Growing[Seeding Jar], ROW()-ROW(Growing[#Headers])),
    IF(_xlpm.value="", "", _xlpm.value)
)</f>
        <v>32</v>
      </c>
      <c r="B34" t="e">
        <f>IF(vLS_1[[#This Row],[Seeding Jar]]="", "", VALUE( _xlfn.XLOOKUP(SUBSTITUTE(vLS_1[[#This Row],[Seeding Jar]], "*", ""), Jars[Jar],#REF!)))</f>
        <v>#REF!</v>
      </c>
      <c r="C34" t="str">
        <f>TRIM(Growing[[#This Row],[Seed]])</f>
        <v>2178GP.53</v>
      </c>
      <c r="D34" t="str">
        <f>IF(Growing[[#This Row],[Date Seeded]]="", "", TEXT(Growing[[#This Row],[Date Seeded]], "YYYY-MM-dd"))</f>
        <v>2026-09-11</v>
      </c>
      <c r="E34" t="str">
        <f>IF(Growing[[#This Row],[Transplant Date]]="", "", TEXT(Growing[[#This Row],[Transplant Date]], "YYYY-MM-dd"))</f>
        <v>2026-09-21</v>
      </c>
      <c r="F34" t="str">
        <f>IF(Growing[[#This Row],[Date Terminated]]="", "", TEXT(Growing[[#This Row],[Date Terminated]], "YYYY-MM-dd"))</f>
        <v/>
      </c>
      <c r="G34" t="str">
        <f>IF(Growing[[#This Row],[Root Length (mm)]]="", "", IFERROR(VALUE(Growing[[#This Row],[Root Length (mm)]]), ""))</f>
        <v/>
      </c>
      <c r="H34" t="str">
        <f>IFERROR(VALUE(DATEVALUE(vLS_1[[#This Row],[Date Terminated]])-DATEVALUE(vLS_1[[#This Row],[Transplant Date]])), "")</f>
        <v/>
      </c>
      <c r="I34" t="str">
        <f>IFERROR(ROUND(vLS_1[[#This Row],[Final Root Length (mm)]]/vLS_1[[#This Row],[Days Between]], 2), "")</f>
        <v/>
      </c>
      <c r="J34">
        <f>IF(AND(ISNUMBER(vLS_1[[#This Row],[Final Root Length (mm)]]),ISNUMBER(vLS_1[[#This Row],[Days Between]]),vLS_1[[#This Row],[Days Between]]&gt;0,ISNUMBER(vLS_1[[#This Row],[Fertilizer Added (g)]])), 1, 0)</f>
        <v>0</v>
      </c>
      <c r="N34" s="17" t="str" cm="1">
        <f t="array" aca="1" ref="N34" ca="1">_xlfn.LET(_xlpm.value, OFFSET(INDIRECT(ADDRESS(ROW(),COLUMN())),0,-2), IF(_xlpm.value="","",_xlpm.value))</f>
        <v/>
      </c>
      <c r="O34" s="17" t="str" cm="1">
        <f t="array" aca="1" ref="O34" ca="1">_xlfn.LET(_xlpm.value, OFFSET(INDIRECT(ADDRESS(ROW(),COLUMN())),0,-2), IF(_xlpm.value="","",_xlpm.value))</f>
        <v/>
      </c>
      <c r="P34" s="17" t="str">
        <f ca="1">IFERROR(ROUND(AVERAGEIFS(vLS_1[Root Length per Day (mm/day)],vLS_1[Seed],vLS_2[[#This Row],[Seed]], vLS_1[Fertilizer Added (g)], vLS_2[[#This Row],[Fertilizer Added (g)]]), 2), "")</f>
        <v/>
      </c>
    </row>
    <row r="35" spans="1:16">
      <c r="A35" t="str" cm="1">
        <f t="array" ref="A35">_xlfn.LET(
    _xlpm.value, INDEX(Growing[Seeding Jar], ROW()-ROW(Growing[#Headers])),
    IF(_xlpm.value="", "", _xlpm.value)
)</f>
        <v>25*</v>
      </c>
      <c r="B35" t="e">
        <f>IF(vLS_1[[#This Row],[Seeding Jar]]="", "", VALUE( _xlfn.XLOOKUP(SUBSTITUTE(vLS_1[[#This Row],[Seeding Jar]], "*", ""), Jars[Jar],#REF!)))</f>
        <v>#REF!</v>
      </c>
      <c r="C35" t="str">
        <f>TRIM(Growing[[#This Row],[Seed]])</f>
        <v>2178GP.53</v>
      </c>
      <c r="D35" t="str">
        <f>IF(Growing[[#This Row],[Date Seeded]]="", "", TEXT(Growing[[#This Row],[Date Seeded]], "YYYY-MM-dd"))</f>
        <v>2026-09-14</v>
      </c>
      <c r="E35" t="str">
        <f>IF(Growing[[#This Row],[Transplant Date]]="", "", TEXT(Growing[[#This Row],[Transplant Date]], "YYYY-MM-dd"))</f>
        <v>2026-09-22</v>
      </c>
      <c r="F35" t="str">
        <f>IF(Growing[[#This Row],[Date Terminated]]="", "", TEXT(Growing[[#This Row],[Date Terminated]], "YYYY-MM-dd"))</f>
        <v/>
      </c>
      <c r="G35" t="str">
        <f>IF(Growing[[#This Row],[Root Length (mm)]]="", "", IFERROR(VALUE(Growing[[#This Row],[Root Length (mm)]]), ""))</f>
        <v/>
      </c>
      <c r="H35" t="str">
        <f>IFERROR(VALUE(DATEVALUE(vLS_1[[#This Row],[Date Terminated]])-DATEVALUE(vLS_1[[#This Row],[Transplant Date]])), "")</f>
        <v/>
      </c>
      <c r="I35" t="str">
        <f>IFERROR(ROUND(vLS_1[[#This Row],[Final Root Length (mm)]]/vLS_1[[#This Row],[Days Between]], 2), "")</f>
        <v/>
      </c>
      <c r="J35">
        <f>IF(AND(ISNUMBER(vLS_1[[#This Row],[Final Root Length (mm)]]),ISNUMBER(vLS_1[[#This Row],[Days Between]]),vLS_1[[#This Row],[Days Between]]&gt;0,ISNUMBER(vLS_1[[#This Row],[Fertilizer Added (g)]])), 1, 0)</f>
        <v>0</v>
      </c>
      <c r="N35" s="17" t="str" cm="1">
        <f t="array" aca="1" ref="N35" ca="1">_xlfn.LET(_xlpm.value, OFFSET(INDIRECT(ADDRESS(ROW(),COLUMN())),0,-2), IF(_xlpm.value="","",_xlpm.value))</f>
        <v/>
      </c>
      <c r="O35" s="17" t="str" cm="1">
        <f t="array" aca="1" ref="O35" ca="1">_xlfn.LET(_xlpm.value, OFFSET(INDIRECT(ADDRESS(ROW(),COLUMN())),0,-2), IF(_xlpm.value="","",_xlpm.value))</f>
        <v/>
      </c>
      <c r="P35" s="17" t="str">
        <f ca="1">IFERROR(ROUND(AVERAGEIFS(vLS_1[Root Length per Day (mm/day)],vLS_1[Seed],vLS_2[[#This Row],[Seed]], vLS_1[Fertilizer Added (g)], vLS_2[[#This Row],[Fertilizer Added (g)]]), 2), "")</f>
        <v/>
      </c>
    </row>
    <row r="36" spans="1:16">
      <c r="A36" t="str" cm="1">
        <f t="array" ref="A36">_xlfn.LET(
    _xlpm.value, INDEX(Growing[Seeding Jar], ROW()-ROW(Growing[#Headers])),
    IF(_xlpm.value="", "", _xlpm.value)
)</f>
        <v>33.1</v>
      </c>
      <c r="B36" t="e">
        <f>IF(vLS_1[[#This Row],[Seeding Jar]]="", "", VALUE( _xlfn.XLOOKUP(SUBSTITUTE(vLS_1[[#This Row],[Seeding Jar]], "*", ""), Jars[Jar],#REF!)))</f>
        <v>#REF!</v>
      </c>
      <c r="C36" t="str">
        <f>TRIM(Growing[[#This Row],[Seed]])</f>
        <v>3056JP.65</v>
      </c>
      <c r="D36" t="str">
        <f>IF(Growing[[#This Row],[Date Seeded]]="", "", TEXT(Growing[[#This Row],[Date Seeded]], "YYYY-MM-dd"))</f>
        <v>2026-09-16</v>
      </c>
      <c r="E36" t="str">
        <f>IF(Growing[[#This Row],[Transplant Date]]="", "", TEXT(Growing[[#This Row],[Transplant Date]], "YYYY-MM-dd"))</f>
        <v>None</v>
      </c>
      <c r="F36" t="str">
        <f>IF(Growing[[#This Row],[Date Terminated]]="", "", TEXT(Growing[[#This Row],[Date Terminated]], "YYYY-MM-dd"))</f>
        <v>2026-09-24</v>
      </c>
      <c r="G36" t="str">
        <f>IF(Growing[[#This Row],[Root Length (mm)]]="", "", IFERROR(VALUE(Growing[[#This Row],[Root Length (mm)]]), ""))</f>
        <v/>
      </c>
      <c r="H36" t="str">
        <f>IFERROR(VALUE(DATEVALUE(vLS_1[[#This Row],[Date Terminated]])-DATEVALUE(vLS_1[[#This Row],[Transplant Date]])), "")</f>
        <v/>
      </c>
      <c r="I36" t="str">
        <f>IFERROR(ROUND(vLS_1[[#This Row],[Final Root Length (mm)]]/vLS_1[[#This Row],[Days Between]], 2), "")</f>
        <v/>
      </c>
      <c r="J36">
        <f>IF(AND(ISNUMBER(vLS_1[[#This Row],[Final Root Length (mm)]]),ISNUMBER(vLS_1[[#This Row],[Days Between]]),vLS_1[[#This Row],[Days Between]]&gt;0,ISNUMBER(vLS_1[[#This Row],[Fertilizer Added (g)]])), 1, 0)</f>
        <v>0</v>
      </c>
      <c r="N36" s="17" t="str" cm="1">
        <f t="array" aca="1" ref="N36" ca="1">_xlfn.LET(_xlpm.value, OFFSET(INDIRECT(ADDRESS(ROW(),COLUMN())),0,-2), IF(_xlpm.value="","",_xlpm.value))</f>
        <v/>
      </c>
      <c r="O36" s="17" t="str" cm="1">
        <f t="array" aca="1" ref="O36" ca="1">_xlfn.LET(_xlpm.value, OFFSET(INDIRECT(ADDRESS(ROW(),COLUMN())),0,-2), IF(_xlpm.value="","",_xlpm.value))</f>
        <v/>
      </c>
      <c r="P36" s="17" t="str">
        <f ca="1">IFERROR(ROUND(AVERAGEIFS(vLS_1[Root Length per Day (mm/day)],vLS_1[Seed],vLS_2[[#This Row],[Seed]], vLS_1[Fertilizer Added (g)], vLS_2[[#This Row],[Fertilizer Added (g)]]), 2), "")</f>
        <v/>
      </c>
    </row>
    <row r="37" spans="1:16">
      <c r="A37" t="str" cm="1">
        <f t="array" ref="A37">_xlfn.LET(
    _xlpm.value, INDEX(Growing[Seeding Jar], ROW()-ROW(Growing[#Headers])),
    IF(_xlpm.value="", "", _xlpm.value)
)</f>
        <v>34.1</v>
      </c>
      <c r="B37" t="e">
        <f>IF(vLS_1[[#This Row],[Seeding Jar]]="", "", VALUE( _xlfn.XLOOKUP(SUBSTITUTE(vLS_1[[#This Row],[Seeding Jar]], "*", ""), Jars[Jar],#REF!)))</f>
        <v>#REF!</v>
      </c>
      <c r="C37" t="str">
        <f>TRIM(Growing[[#This Row],[Seed]])</f>
        <v>3056JP.65</v>
      </c>
      <c r="D37" t="str">
        <f>IF(Growing[[#This Row],[Date Seeded]]="", "", TEXT(Growing[[#This Row],[Date Seeded]], "YYYY-MM-dd"))</f>
        <v>2026-09-16</v>
      </c>
      <c r="E37" t="str">
        <f>IF(Growing[[#This Row],[Transplant Date]]="", "", TEXT(Growing[[#This Row],[Transplant Date]], "YYYY-MM-dd"))</f>
        <v>None</v>
      </c>
      <c r="F37" t="str">
        <f>IF(Growing[[#This Row],[Date Terminated]]="", "", TEXT(Growing[[#This Row],[Date Terminated]], "YYYY-MM-dd"))</f>
        <v>2026-09-24</v>
      </c>
      <c r="G37" t="str">
        <f>IF(Growing[[#This Row],[Root Length (mm)]]="", "", IFERROR(VALUE(Growing[[#This Row],[Root Length (mm)]]), ""))</f>
        <v/>
      </c>
      <c r="H37" t="str">
        <f>IFERROR(VALUE(DATEVALUE(vLS_1[[#This Row],[Date Terminated]])-DATEVALUE(vLS_1[[#This Row],[Transplant Date]])), "")</f>
        <v/>
      </c>
      <c r="I37" t="str">
        <f>IFERROR(ROUND(vLS_1[[#This Row],[Final Root Length (mm)]]/vLS_1[[#This Row],[Days Between]], 2), "")</f>
        <v/>
      </c>
      <c r="J37">
        <f>IF(AND(ISNUMBER(vLS_1[[#This Row],[Final Root Length (mm)]]),ISNUMBER(vLS_1[[#This Row],[Days Between]]),vLS_1[[#This Row],[Days Between]]&gt;0,ISNUMBER(vLS_1[[#This Row],[Fertilizer Added (g)]])), 1, 0)</f>
        <v>0</v>
      </c>
    </row>
    <row r="38" spans="1:16">
      <c r="A38" t="str" cm="1">
        <f t="array" ref="A38">_xlfn.LET(
    _xlpm.value, INDEX(Growing[Seeding Jar], ROW()-ROW(Growing[#Headers])),
    IF(_xlpm.value="", "", _xlpm.value)
)</f>
        <v>35.1</v>
      </c>
      <c r="B38" t="e">
        <f>IF(vLS_1[[#This Row],[Seeding Jar]]="", "", VALUE( _xlfn.XLOOKUP(SUBSTITUTE(vLS_1[[#This Row],[Seeding Jar]], "*", ""), Jars[Jar],#REF!)))</f>
        <v>#REF!</v>
      </c>
      <c r="C38" t="str">
        <f>TRIM(Growing[[#This Row],[Seed]])</f>
        <v>3056JP.65</v>
      </c>
      <c r="D38" t="str">
        <f>IF(Growing[[#This Row],[Date Seeded]]="", "", TEXT(Growing[[#This Row],[Date Seeded]], "YYYY-MM-dd"))</f>
        <v>2026-09-16</v>
      </c>
      <c r="E38" t="str">
        <f>IF(Growing[[#This Row],[Transplant Date]]="", "", TEXT(Growing[[#This Row],[Transplant Date]], "YYYY-MM-dd"))</f>
        <v>None</v>
      </c>
      <c r="F38" t="str">
        <f>IF(Growing[[#This Row],[Date Terminated]]="", "", TEXT(Growing[[#This Row],[Date Terminated]], "YYYY-MM-dd"))</f>
        <v>2026-09-24</v>
      </c>
      <c r="G38" t="str">
        <f>IF(Growing[[#This Row],[Root Length (mm)]]="", "", IFERROR(VALUE(Growing[[#This Row],[Root Length (mm)]]), ""))</f>
        <v/>
      </c>
      <c r="H38" t="str">
        <f>IFERROR(VALUE(DATEVALUE(vLS_1[[#This Row],[Date Terminated]])-DATEVALUE(vLS_1[[#This Row],[Transplant Date]])), "")</f>
        <v/>
      </c>
      <c r="I38" t="str">
        <f>IFERROR(ROUND(vLS_1[[#This Row],[Final Root Length (mm)]]/vLS_1[[#This Row],[Days Between]], 2), "")</f>
        <v/>
      </c>
      <c r="J38">
        <f>IF(AND(ISNUMBER(vLS_1[[#This Row],[Final Root Length (mm)]]),ISNUMBER(vLS_1[[#This Row],[Days Between]]),vLS_1[[#This Row],[Days Between]]&gt;0,ISNUMBER(vLS_1[[#This Row],[Fertilizer Added (g)]])), 1, 0)</f>
        <v>0</v>
      </c>
    </row>
    <row r="39" spans="1:16">
      <c r="A39" t="str" cm="1">
        <f t="array" ref="A39">_xlfn.LET(
    _xlpm.value, INDEX(Growing[Seeding Jar], ROW()-ROW(Growing[#Headers])),
    IF(_xlpm.value="", "", _xlpm.value)
)</f>
        <v>33.2</v>
      </c>
      <c r="B39" t="e">
        <f>IF(vLS_1[[#This Row],[Seeding Jar]]="", "", VALUE( _xlfn.XLOOKUP(SUBSTITUTE(vLS_1[[#This Row],[Seeding Jar]], "*", ""), Jars[Jar],#REF!)))</f>
        <v>#REF!</v>
      </c>
      <c r="C39" t="str">
        <f>TRIM(Growing[[#This Row],[Seed]])</f>
        <v>2178GP.53</v>
      </c>
      <c r="D39" t="str">
        <f>IF(Growing[[#This Row],[Date Seeded]]="", "", TEXT(Growing[[#This Row],[Date Seeded]], "YYYY-MM-dd"))</f>
        <v>2026-09-24</v>
      </c>
      <c r="E39" t="str">
        <f>IF(Growing[[#This Row],[Transplant Date]]="", "", TEXT(Growing[[#This Row],[Transplant Date]], "YYYY-MM-dd"))</f>
        <v>2026-10-07</v>
      </c>
      <c r="F39" t="str">
        <f>IF(Growing[[#This Row],[Date Terminated]]="", "", TEXT(Growing[[#This Row],[Date Terminated]], "YYYY-MM-dd"))</f>
        <v/>
      </c>
      <c r="G39" t="str">
        <f>IF(Growing[[#This Row],[Root Length (mm)]]="", "", IFERROR(VALUE(Growing[[#This Row],[Root Length (mm)]]), ""))</f>
        <v/>
      </c>
      <c r="H39" t="str">
        <f>IFERROR(VALUE(DATEVALUE(vLS_1[[#This Row],[Date Terminated]])-DATEVALUE(vLS_1[[#This Row],[Transplant Date]])), "")</f>
        <v/>
      </c>
      <c r="I39" t="str">
        <f>IFERROR(ROUND(vLS_1[[#This Row],[Final Root Length (mm)]]/vLS_1[[#This Row],[Days Between]], 2), "")</f>
        <v/>
      </c>
      <c r="J39">
        <f>IF(AND(ISNUMBER(vLS_1[[#This Row],[Final Root Length (mm)]]),ISNUMBER(vLS_1[[#This Row],[Days Between]]),vLS_1[[#This Row],[Days Between]]&gt;0,ISNUMBER(vLS_1[[#This Row],[Fertilizer Added (g)]])), 1, 0)</f>
        <v>0</v>
      </c>
    </row>
    <row r="40" spans="1:16">
      <c r="A40" t="str" cm="1">
        <f t="array" ref="A40">_xlfn.LET(
    _xlpm.value, INDEX(Growing[Seeding Jar], ROW()-ROW(Growing[#Headers])),
    IF(_xlpm.value="", "", _xlpm.value)
)</f>
        <v>34.2</v>
      </c>
      <c r="B40" t="e">
        <f>IF(vLS_1[[#This Row],[Seeding Jar]]="", "", VALUE( _xlfn.XLOOKUP(SUBSTITUTE(vLS_1[[#This Row],[Seeding Jar]], "*", ""), Jars[Jar],#REF!)))</f>
        <v>#REF!</v>
      </c>
      <c r="C40" t="str">
        <f>TRIM(Growing[[#This Row],[Seed]])</f>
        <v>2178GP.53</v>
      </c>
      <c r="D40" t="str">
        <f>IF(Growing[[#This Row],[Date Seeded]]="", "", TEXT(Growing[[#This Row],[Date Seeded]], "YYYY-MM-dd"))</f>
        <v>2026-09-24</v>
      </c>
      <c r="E40" t="str">
        <f>IF(Growing[[#This Row],[Transplant Date]]="", "", TEXT(Growing[[#This Row],[Transplant Date]], "YYYY-MM-dd"))</f>
        <v>None</v>
      </c>
      <c r="F40" t="str">
        <f>IF(Growing[[#This Row],[Date Terminated]]="", "", TEXT(Growing[[#This Row],[Date Terminated]], "YYYY-MM-dd"))</f>
        <v>2026-10-07</v>
      </c>
      <c r="G40" t="str">
        <f>IF(Growing[[#This Row],[Root Length (mm)]]="", "", IFERROR(VALUE(Growing[[#This Row],[Root Length (mm)]]), ""))</f>
        <v/>
      </c>
      <c r="H40" t="str">
        <f>IFERROR(VALUE(DATEVALUE(vLS_1[[#This Row],[Date Terminated]])-DATEVALUE(vLS_1[[#This Row],[Transplant Date]])), "")</f>
        <v/>
      </c>
      <c r="I40" t="str">
        <f>IFERROR(ROUND(vLS_1[[#This Row],[Final Root Length (mm)]]/vLS_1[[#This Row],[Days Between]], 2), "")</f>
        <v/>
      </c>
      <c r="J40">
        <f>IF(AND(ISNUMBER(vLS_1[[#This Row],[Final Root Length (mm)]]),ISNUMBER(vLS_1[[#This Row],[Days Between]]),vLS_1[[#This Row],[Days Between]]&gt;0,ISNUMBER(vLS_1[[#This Row],[Fertilizer Added (g)]])), 1, 0)</f>
        <v>0</v>
      </c>
    </row>
    <row r="41" spans="1:16">
      <c r="A41" t="str" cm="1">
        <f t="array" ref="A41">_xlfn.LET(
    _xlpm.value, INDEX(Growing[Seeding Jar], ROW()-ROW(Growing[#Headers])),
    IF(_xlpm.value="", "", _xlpm.value)
)</f>
        <v>35.2</v>
      </c>
      <c r="B41" t="e">
        <f>IF(vLS_1[[#This Row],[Seeding Jar]]="", "", VALUE( _xlfn.XLOOKUP(SUBSTITUTE(vLS_1[[#This Row],[Seeding Jar]], "*", ""), Jars[Jar],#REF!)))</f>
        <v>#REF!</v>
      </c>
      <c r="C41" t="str">
        <f>TRIM(Growing[[#This Row],[Seed]])</f>
        <v>2178GP.53</v>
      </c>
      <c r="D41" t="str">
        <f>IF(Growing[[#This Row],[Date Seeded]]="", "", TEXT(Growing[[#This Row],[Date Seeded]], "YYYY-MM-dd"))</f>
        <v>2026-09-24</v>
      </c>
      <c r="E41" t="str">
        <f>IF(Growing[[#This Row],[Transplant Date]]="", "", TEXT(Growing[[#This Row],[Transplant Date]], "YYYY-MM-dd"))</f>
        <v>2026-10-07</v>
      </c>
      <c r="F41" t="str">
        <f>IF(Growing[[#This Row],[Date Terminated]]="", "", TEXT(Growing[[#This Row],[Date Terminated]], "YYYY-MM-dd"))</f>
        <v/>
      </c>
      <c r="G41" t="str">
        <f>IF(Growing[[#This Row],[Root Length (mm)]]="", "", IFERROR(VALUE(Growing[[#This Row],[Root Length (mm)]]), ""))</f>
        <v/>
      </c>
      <c r="H41" t="str">
        <f>IFERROR(VALUE(DATEVALUE(vLS_1[[#This Row],[Date Terminated]])-DATEVALUE(vLS_1[[#This Row],[Transplant Date]])), "")</f>
        <v/>
      </c>
      <c r="I41" t="str">
        <f>IFERROR(ROUND(vLS_1[[#This Row],[Final Root Length (mm)]]/vLS_1[[#This Row],[Days Between]], 2), "")</f>
        <v/>
      </c>
      <c r="J41">
        <f>IF(AND(ISNUMBER(vLS_1[[#This Row],[Final Root Length (mm)]]),ISNUMBER(vLS_1[[#This Row],[Days Between]]),vLS_1[[#This Row],[Days Between]]&gt;0,ISNUMBER(vLS_1[[#This Row],[Fertilizer Added (g)]])), 1, 0)</f>
        <v>0</v>
      </c>
    </row>
    <row r="42" spans="1:16">
      <c r="A42" t="str" cm="1">
        <f t="array" ref="A42">_xlfn.LET(
    _xlpm.value, INDEX(Growing[Seeding Jar], ROW()-ROW(Growing[#Headers])),
    IF(_xlpm.value="", "", _xlpm.value)
)</f>
        <v>40</v>
      </c>
      <c r="B42" t="e">
        <f>IF(vLS_1[[#This Row],[Seeding Jar]]="", "", VALUE( _xlfn.XLOOKUP(SUBSTITUTE(vLS_1[[#This Row],[Seeding Jar]], "*", ""), Jars[Jar],#REF!)))</f>
        <v>#REF!</v>
      </c>
      <c r="C42" t="str">
        <f>TRIM(Growing[[#This Row],[Seed]])</f>
        <v>2178GP.53</v>
      </c>
      <c r="D42" t="str">
        <f>IF(Growing[[#This Row],[Date Seeded]]="", "", TEXT(Growing[[#This Row],[Date Seeded]], "YYYY-MM-dd"))</f>
        <v>2026-09-30</v>
      </c>
      <c r="E42" t="str">
        <f>IF(Growing[[#This Row],[Transplant Date]]="", "", TEXT(Growing[[#This Row],[Transplant Date]], "YYYY-MM-dd"))</f>
        <v/>
      </c>
      <c r="F42" t="str">
        <f>IF(Growing[[#This Row],[Date Terminated]]="", "", TEXT(Growing[[#This Row],[Date Terminated]], "YYYY-MM-dd"))</f>
        <v/>
      </c>
      <c r="G42" t="str">
        <f>IF(Growing[[#This Row],[Root Length (mm)]]="", "", IFERROR(VALUE(Growing[[#This Row],[Root Length (mm)]]), ""))</f>
        <v/>
      </c>
      <c r="H42" t="str">
        <f>IFERROR(VALUE(DATEVALUE(vLS_1[[#This Row],[Date Terminated]])-DATEVALUE(vLS_1[[#This Row],[Transplant Date]])), "")</f>
        <v/>
      </c>
      <c r="I42" t="str">
        <f>IFERROR(ROUND(vLS_1[[#This Row],[Final Root Length (mm)]]/vLS_1[[#This Row],[Days Between]], 2), "")</f>
        <v/>
      </c>
      <c r="J42">
        <f>IF(AND(ISNUMBER(vLS_1[[#This Row],[Final Root Length (mm)]]),ISNUMBER(vLS_1[[#This Row],[Days Between]]),vLS_1[[#This Row],[Days Between]]&gt;0,ISNUMBER(vLS_1[[#This Row],[Fertilizer Added (g)]])), 1, 0)</f>
        <v>0</v>
      </c>
    </row>
    <row r="43" spans="1:16">
      <c r="A43" t="str" cm="1">
        <f t="array" ref="A43">_xlfn.LET(
    _xlpm.value, INDEX(Growing[Seeding Jar], ROW()-ROW(Growing[#Headers])),
    IF(_xlpm.value="", "", _xlpm.value)
)</f>
        <v>38</v>
      </c>
      <c r="B43" t="e">
        <f>IF(vLS_1[[#This Row],[Seeding Jar]]="", "", VALUE( _xlfn.XLOOKUP(SUBSTITUTE(vLS_1[[#This Row],[Seeding Jar]], "*", ""), Jars[Jar],#REF!)))</f>
        <v>#REF!</v>
      </c>
      <c r="C43" t="str">
        <f>TRIM(Growing[[#This Row],[Seed]])</f>
        <v>2178GP.53</v>
      </c>
      <c r="D43" t="str">
        <f>IF(Growing[[#This Row],[Date Seeded]]="", "", TEXT(Growing[[#This Row],[Date Seeded]], "YYYY-MM-dd"))</f>
        <v>2026-10-01</v>
      </c>
      <c r="E43" t="str">
        <f>IF(Growing[[#This Row],[Transplant Date]]="", "", TEXT(Growing[[#This Row],[Transplant Date]], "YYYY-MM-dd"))</f>
        <v/>
      </c>
      <c r="F43" t="str">
        <f>IF(Growing[[#This Row],[Date Terminated]]="", "", TEXT(Growing[[#This Row],[Date Terminated]], "YYYY-MM-dd"))</f>
        <v/>
      </c>
      <c r="G43" t="str">
        <f>IF(Growing[[#This Row],[Root Length (mm)]]="", "", IFERROR(VALUE(Growing[[#This Row],[Root Length (mm)]]), ""))</f>
        <v/>
      </c>
      <c r="H43" t="str">
        <f>IFERROR(VALUE(DATEVALUE(vLS_1[[#This Row],[Date Terminated]])-DATEVALUE(vLS_1[[#This Row],[Transplant Date]])), "")</f>
        <v/>
      </c>
      <c r="I43" t="str">
        <f>IFERROR(ROUND(vLS_1[[#This Row],[Final Root Length (mm)]]/vLS_1[[#This Row],[Days Between]], 2), "")</f>
        <v/>
      </c>
      <c r="J43">
        <f>IF(AND(ISNUMBER(vLS_1[[#This Row],[Final Root Length (mm)]]),ISNUMBER(vLS_1[[#This Row],[Days Between]]),vLS_1[[#This Row],[Days Between]]&gt;0,ISNUMBER(vLS_1[[#This Row],[Fertilizer Added (g)]])), 1, 0)</f>
        <v>0</v>
      </c>
    </row>
    <row r="44" spans="1:16">
      <c r="A44" t="str" cm="1">
        <f t="array" ref="A44">_xlfn.LET(
    _xlpm.value, INDEX(Growing[Seeding Jar], ROW()-ROW(Growing[#Headers])),
    IF(_xlpm.value="", "", _xlpm.value)
)</f>
        <v>39</v>
      </c>
      <c r="B44" t="e">
        <f>IF(vLS_1[[#This Row],[Seeding Jar]]="", "", VALUE( _xlfn.XLOOKUP(SUBSTITUTE(vLS_1[[#This Row],[Seeding Jar]], "*", ""), Jars[Jar],#REF!)))</f>
        <v>#REF!</v>
      </c>
      <c r="C44" t="str">
        <f>TRIM(Growing[[#This Row],[Seed]])</f>
        <v>2178GP.53</v>
      </c>
      <c r="D44" t="str">
        <f>IF(Growing[[#This Row],[Date Seeded]]="", "", TEXT(Growing[[#This Row],[Date Seeded]], "YYYY-MM-dd"))</f>
        <v>2026-10-01</v>
      </c>
      <c r="E44" t="str">
        <f>IF(Growing[[#This Row],[Transplant Date]]="", "", TEXT(Growing[[#This Row],[Transplant Date]], "YYYY-MM-dd"))</f>
        <v/>
      </c>
      <c r="F44" t="str">
        <f>IF(Growing[[#This Row],[Date Terminated]]="", "", TEXT(Growing[[#This Row],[Date Terminated]], "YYYY-MM-dd"))</f>
        <v/>
      </c>
      <c r="G44" t="str">
        <f>IF(Growing[[#This Row],[Root Length (mm)]]="", "", IFERROR(VALUE(Growing[[#This Row],[Root Length (mm)]]), ""))</f>
        <v/>
      </c>
      <c r="H44" t="str">
        <f>IFERROR(VALUE(DATEVALUE(vLS_1[[#This Row],[Date Terminated]])-DATEVALUE(vLS_1[[#This Row],[Transplant Date]])), "")</f>
        <v/>
      </c>
      <c r="I44" t="str">
        <f>IFERROR(ROUND(vLS_1[[#This Row],[Final Root Length (mm)]]/vLS_1[[#This Row],[Days Between]], 2), "")</f>
        <v/>
      </c>
      <c r="J44">
        <f>IF(AND(ISNUMBER(vLS_1[[#This Row],[Final Root Length (mm)]]),ISNUMBER(vLS_1[[#This Row],[Days Between]]),vLS_1[[#This Row],[Days Between]]&gt;0,ISNUMBER(vLS_1[[#This Row],[Fertilizer Added (g)]])), 1, 0)</f>
        <v>0</v>
      </c>
    </row>
    <row r="45" spans="1:16">
      <c r="A45" t="str" cm="1">
        <f t="array" ref="A45">_xlfn.LET(
    _xlpm.value, INDEX(Growing[Seeding Jar], ROW()-ROW(Growing[#Headers])),
    IF(_xlpm.value="", "", _xlpm.value)
)</f>
        <v/>
      </c>
      <c r="B45" t="str">
        <f>IF(vLS_1[[#This Row],[Seeding Jar]]="", "", VALUE( _xlfn.XLOOKUP(SUBSTITUTE(vLS_1[[#This Row],[Seeding Jar]], "*", ""), Jars[Jar],#REF!)))</f>
        <v/>
      </c>
      <c r="C45" t="str">
        <f>TRIM(Growing[[#This Row],[Seed]])</f>
        <v/>
      </c>
      <c r="D45" t="str">
        <f>IF(Growing[[#This Row],[Date Seeded]]="", "", TEXT(Growing[[#This Row],[Date Seeded]], "YYYY-MM-dd"))</f>
        <v/>
      </c>
      <c r="E45" t="str">
        <f>IF(Growing[[#This Row],[Transplant Date]]="", "", TEXT(Growing[[#This Row],[Transplant Date]], "YYYY-MM-dd"))</f>
        <v/>
      </c>
      <c r="F45" t="str">
        <f>IF(Growing[[#This Row],[Date Terminated]]="", "", TEXT(Growing[[#This Row],[Date Terminated]], "YYYY-MM-dd"))</f>
        <v/>
      </c>
      <c r="G45" t="str">
        <f>IF(Growing[[#This Row],[Root Length (mm)]]="", "", IFERROR(VALUE(Growing[[#This Row],[Root Length (mm)]]), ""))</f>
        <v/>
      </c>
      <c r="H45" t="str">
        <f>IFERROR(VALUE(DATEVALUE(vLS_1[[#This Row],[Date Terminated]])-DATEVALUE(vLS_1[[#This Row],[Transplant Date]])), "")</f>
        <v/>
      </c>
      <c r="I45" t="str">
        <f>IFERROR(ROUND(vLS_1[[#This Row],[Final Root Length (mm)]]/vLS_1[[#This Row],[Days Between]], 2), "")</f>
        <v/>
      </c>
      <c r="J45">
        <f>IF(AND(ISNUMBER(vLS_1[[#This Row],[Final Root Length (mm)]]),ISNUMBER(vLS_1[[#This Row],[Days Between]]),vLS_1[[#This Row],[Days Between]]&gt;0,ISNUMBER(vLS_1[[#This Row],[Fertilizer Added (g)]])), 1, 0)</f>
        <v>0</v>
      </c>
    </row>
    <row r="46" spans="1:16">
      <c r="A46" t="str" cm="1">
        <f t="array" ref="A46">_xlfn.LET(
    _xlpm.value, INDEX(Growing[Seeding Jar], ROW()-ROW(Growing[#Headers])),
    IF(_xlpm.value="", "", _xlpm.value)
)</f>
        <v/>
      </c>
      <c r="B46" t="str">
        <f>IF(vLS_1[[#This Row],[Seeding Jar]]="", "", VALUE( _xlfn.XLOOKUP(SUBSTITUTE(vLS_1[[#This Row],[Seeding Jar]], "*", ""), Jars[Jar],#REF!)))</f>
        <v/>
      </c>
      <c r="C46" t="str">
        <f>TRIM(Growing[[#This Row],[Seed]])</f>
        <v/>
      </c>
      <c r="D46" t="str">
        <f>IF(Growing[[#This Row],[Date Seeded]]="", "", TEXT(Growing[[#This Row],[Date Seeded]], "YYYY-MM-dd"))</f>
        <v/>
      </c>
      <c r="E46" t="str">
        <f>IF(Growing[[#This Row],[Transplant Date]]="", "", TEXT(Growing[[#This Row],[Transplant Date]], "YYYY-MM-dd"))</f>
        <v/>
      </c>
      <c r="F46" t="str">
        <f>IF(Growing[[#This Row],[Date Terminated]]="", "", TEXT(Growing[[#This Row],[Date Terminated]], "YYYY-MM-dd"))</f>
        <v/>
      </c>
      <c r="G46" t="str">
        <f>IF(Growing[[#This Row],[Root Length (mm)]]="", "", IFERROR(VALUE(Growing[[#This Row],[Root Length (mm)]]), ""))</f>
        <v/>
      </c>
      <c r="H46" t="str">
        <f>IFERROR(VALUE(DATEVALUE(vLS_1[[#This Row],[Date Terminated]])-DATEVALUE(vLS_1[[#This Row],[Transplant Date]])), "")</f>
        <v/>
      </c>
      <c r="I46" t="str">
        <f>IFERROR(ROUND(vLS_1[[#This Row],[Final Root Length (mm)]]/vLS_1[[#This Row],[Days Between]], 2), "")</f>
        <v/>
      </c>
      <c r="J46">
        <f>IF(AND(ISNUMBER(vLS_1[[#This Row],[Final Root Length (mm)]]),ISNUMBER(vLS_1[[#This Row],[Days Between]]),vLS_1[[#This Row],[Days Between]]&gt;0,ISNUMBER(vLS_1[[#This Row],[Fertilizer Added (g)]])), 1, 0)</f>
        <v>0</v>
      </c>
    </row>
    <row r="47" spans="1:16">
      <c r="A47" t="str" cm="1">
        <f t="array" ref="A47">_xlfn.LET(
    _xlpm.value, INDEX(Growing[Seeding Jar], ROW()-ROW(Growing[#Headers])),
    IF(_xlpm.value="", "", _xlpm.value)
)</f>
        <v/>
      </c>
      <c r="B47" t="str">
        <f>IF(vLS_1[[#This Row],[Seeding Jar]]="", "", VALUE( _xlfn.XLOOKUP(SUBSTITUTE(vLS_1[[#This Row],[Seeding Jar]], "*", ""), Jars[Jar],#REF!)))</f>
        <v/>
      </c>
      <c r="C47" t="str">
        <f>TRIM(Growing[[#This Row],[Seed]])</f>
        <v/>
      </c>
      <c r="D47" t="str">
        <f>IF(Growing[[#This Row],[Date Seeded]]="", "", TEXT(Growing[[#This Row],[Date Seeded]], "YYYY-MM-dd"))</f>
        <v/>
      </c>
      <c r="E47" t="str">
        <f>IF(Growing[[#This Row],[Transplant Date]]="", "", TEXT(Growing[[#This Row],[Transplant Date]], "YYYY-MM-dd"))</f>
        <v/>
      </c>
      <c r="F47" t="str">
        <f>IF(Growing[[#This Row],[Date Terminated]]="", "", TEXT(Growing[[#This Row],[Date Terminated]], "YYYY-MM-dd"))</f>
        <v/>
      </c>
      <c r="G47" t="str">
        <f>IF(Growing[[#This Row],[Root Length (mm)]]="", "", IFERROR(VALUE(Growing[[#This Row],[Root Length (mm)]]), ""))</f>
        <v/>
      </c>
      <c r="H47" t="str">
        <f>IFERROR(VALUE(DATEVALUE(vLS_1[[#This Row],[Date Terminated]])-DATEVALUE(vLS_1[[#This Row],[Transplant Date]])), "")</f>
        <v/>
      </c>
      <c r="I47" t="str">
        <f>IFERROR(ROUND(vLS_1[[#This Row],[Final Root Length (mm)]]/vLS_1[[#This Row],[Days Between]], 2), "")</f>
        <v/>
      </c>
      <c r="J47">
        <f>IF(AND(ISNUMBER(vLS_1[[#This Row],[Final Root Length (mm)]]),ISNUMBER(vLS_1[[#This Row],[Days Between]]),vLS_1[[#This Row],[Days Between]]&gt;0,ISNUMBER(vLS_1[[#This Row],[Fertilizer Added (g)]])), 1, 0)</f>
        <v>0</v>
      </c>
    </row>
    <row r="48" spans="1:16">
      <c r="A48" t="str" cm="1">
        <f t="array" ref="A48">_xlfn.LET(
    _xlpm.value, INDEX(Growing[Seeding Jar], ROW()-ROW(Growing[#Headers])),
    IF(_xlpm.value="", "", _xlpm.value)
)</f>
        <v/>
      </c>
      <c r="B48" t="str">
        <f>IF(vLS_1[[#This Row],[Seeding Jar]]="", "", VALUE( _xlfn.XLOOKUP(SUBSTITUTE(vLS_1[[#This Row],[Seeding Jar]], "*", ""), Jars[Jar],#REF!)))</f>
        <v/>
      </c>
      <c r="C48" t="str">
        <f>TRIM(Growing[[#This Row],[Seed]])</f>
        <v/>
      </c>
      <c r="D48" t="str">
        <f>IF(Growing[[#This Row],[Date Seeded]]="", "", TEXT(Growing[[#This Row],[Date Seeded]], "YYYY-MM-dd"))</f>
        <v/>
      </c>
      <c r="E48" t="str">
        <f>IF(Growing[[#This Row],[Transplant Date]]="", "", TEXT(Growing[[#This Row],[Transplant Date]], "YYYY-MM-dd"))</f>
        <v/>
      </c>
      <c r="F48" t="str">
        <f>IF(Growing[[#This Row],[Date Terminated]]="", "", TEXT(Growing[[#This Row],[Date Terminated]], "YYYY-MM-dd"))</f>
        <v/>
      </c>
      <c r="G48" t="str">
        <f>IF(Growing[[#This Row],[Root Length (mm)]]="", "", IFERROR(VALUE(Growing[[#This Row],[Root Length (mm)]]), ""))</f>
        <v/>
      </c>
      <c r="H48" t="str">
        <f>IFERROR(VALUE(DATEVALUE(vLS_1[[#This Row],[Date Terminated]])-DATEVALUE(vLS_1[[#This Row],[Transplant Date]])), "")</f>
        <v/>
      </c>
      <c r="I48" t="str">
        <f>IFERROR(ROUND(vLS_1[[#This Row],[Final Root Length (mm)]]/vLS_1[[#This Row],[Days Between]], 2), "")</f>
        <v/>
      </c>
      <c r="J48">
        <f>IF(AND(ISNUMBER(vLS_1[[#This Row],[Final Root Length (mm)]]),ISNUMBER(vLS_1[[#This Row],[Days Between]]),vLS_1[[#This Row],[Days Between]]&gt;0,ISNUMBER(vLS_1[[#This Row],[Fertilizer Added (g)]])), 1, 0)</f>
        <v>0</v>
      </c>
    </row>
    <row r="49" spans="1:10">
      <c r="A49" t="str" cm="1">
        <f t="array" ref="A49">_xlfn.LET(
    _xlpm.value, INDEX(Growing[Seeding Jar], ROW()-ROW(Growing[#Headers])),
    IF(_xlpm.value="", "", _xlpm.value)
)</f>
        <v/>
      </c>
      <c r="B49" t="str">
        <f>IF(vLS_1[[#This Row],[Seeding Jar]]="", "", VALUE( _xlfn.XLOOKUP(SUBSTITUTE(vLS_1[[#This Row],[Seeding Jar]], "*", ""), Jars[Jar],#REF!)))</f>
        <v/>
      </c>
      <c r="C49" t="str">
        <f>TRIM(Growing[[#This Row],[Seed]])</f>
        <v/>
      </c>
      <c r="D49" t="str">
        <f>IF(Growing[[#This Row],[Date Seeded]]="", "", TEXT(Growing[[#This Row],[Date Seeded]], "YYYY-MM-dd"))</f>
        <v/>
      </c>
      <c r="E49" t="str">
        <f>IF(Growing[[#This Row],[Transplant Date]]="", "", TEXT(Growing[[#This Row],[Transplant Date]], "YYYY-MM-dd"))</f>
        <v/>
      </c>
      <c r="F49" t="str">
        <f>IF(Growing[[#This Row],[Date Terminated]]="", "", TEXT(Growing[[#This Row],[Date Terminated]], "YYYY-MM-dd"))</f>
        <v/>
      </c>
      <c r="G49" t="str">
        <f>IF(Growing[[#This Row],[Root Length (mm)]]="", "", IFERROR(VALUE(Growing[[#This Row],[Root Length (mm)]]), ""))</f>
        <v/>
      </c>
      <c r="H49" t="str">
        <f>IFERROR(VALUE(DATEVALUE(vLS_1[[#This Row],[Date Terminated]])-DATEVALUE(vLS_1[[#This Row],[Transplant Date]])), "")</f>
        <v/>
      </c>
      <c r="I49" t="str">
        <f>IFERROR(ROUND(vLS_1[[#This Row],[Final Root Length (mm)]]/vLS_1[[#This Row],[Days Between]], 2), "")</f>
        <v/>
      </c>
      <c r="J49">
        <f>IF(AND(ISNUMBER(vLS_1[[#This Row],[Final Root Length (mm)]]),ISNUMBER(vLS_1[[#This Row],[Days Between]]),vLS_1[[#This Row],[Days Between]]&gt;0,ISNUMBER(vLS_1[[#This Row],[Fertilizer Added (g)]])), 1, 0)</f>
        <v>0</v>
      </c>
    </row>
    <row r="50" spans="1:10">
      <c r="A50" t="str" cm="1">
        <f t="array" ref="A50">_xlfn.LET(
    _xlpm.value, INDEX(Growing[Seeding Jar], ROW()-ROW(Growing[#Headers])),
    IF(_xlpm.value="", "", _xlpm.value)
)</f>
        <v/>
      </c>
      <c r="B50" t="str">
        <f>IF(vLS_1[[#This Row],[Seeding Jar]]="", "", VALUE( _xlfn.XLOOKUP(SUBSTITUTE(vLS_1[[#This Row],[Seeding Jar]], "*", ""), Jars[Jar],#REF!)))</f>
        <v/>
      </c>
      <c r="C50" t="str">
        <f>TRIM(Growing[[#This Row],[Seed]])</f>
        <v/>
      </c>
      <c r="D50" t="str">
        <f>IF(Growing[[#This Row],[Date Seeded]]="", "", TEXT(Growing[[#This Row],[Date Seeded]], "YYYY-MM-dd"))</f>
        <v/>
      </c>
      <c r="E50" t="str">
        <f>IF(Growing[[#This Row],[Transplant Date]]="", "", TEXT(Growing[[#This Row],[Transplant Date]], "YYYY-MM-dd"))</f>
        <v/>
      </c>
      <c r="F50" t="str">
        <f>IF(Growing[[#This Row],[Date Terminated]]="", "", TEXT(Growing[[#This Row],[Date Terminated]], "YYYY-MM-dd"))</f>
        <v/>
      </c>
      <c r="G50" t="str">
        <f>IF(Growing[[#This Row],[Root Length (mm)]]="", "", IFERROR(VALUE(Growing[[#This Row],[Root Length (mm)]]), ""))</f>
        <v/>
      </c>
      <c r="H50" t="str">
        <f>IFERROR(VALUE(DATEVALUE(vLS_1[[#This Row],[Date Terminated]])-DATEVALUE(vLS_1[[#This Row],[Transplant Date]])), "")</f>
        <v/>
      </c>
      <c r="I50" t="str">
        <f>IFERROR(ROUND(vLS_1[[#This Row],[Final Root Length (mm)]]/vLS_1[[#This Row],[Days Between]], 2), "")</f>
        <v/>
      </c>
      <c r="J50">
        <f>IF(AND(ISNUMBER(vLS_1[[#This Row],[Final Root Length (mm)]]),ISNUMBER(vLS_1[[#This Row],[Days Between]]),vLS_1[[#This Row],[Days Between]]&gt;0,ISNUMBER(vLS_1[[#This Row],[Fertilizer Added (g)]])), 1, 0)</f>
        <v>0</v>
      </c>
    </row>
    <row r="51" spans="1:10">
      <c r="A51" t="str" cm="1">
        <f t="array" ref="A51">_xlfn.LET(
    _xlpm.value, INDEX(Growing[Seeding Jar], ROW()-ROW(Growing[#Headers])),
    IF(_xlpm.value="", "", _xlpm.value)
)</f>
        <v/>
      </c>
      <c r="B51" t="str">
        <f>IF(vLS_1[[#This Row],[Seeding Jar]]="", "", VALUE( _xlfn.XLOOKUP(SUBSTITUTE(vLS_1[[#This Row],[Seeding Jar]], "*", ""), Jars[Jar],#REF!)))</f>
        <v/>
      </c>
      <c r="C51" t="str">
        <f>TRIM(Growing[[#This Row],[Seed]])</f>
        <v/>
      </c>
      <c r="D51" t="str">
        <f>IF(Growing[[#This Row],[Date Seeded]]="", "", TEXT(Growing[[#This Row],[Date Seeded]], "YYYY-MM-dd"))</f>
        <v/>
      </c>
      <c r="E51" t="str">
        <f>IF(Growing[[#This Row],[Transplant Date]]="", "", TEXT(Growing[[#This Row],[Transplant Date]], "YYYY-MM-dd"))</f>
        <v/>
      </c>
      <c r="F51" t="str">
        <f>IF(Growing[[#This Row],[Date Terminated]]="", "", TEXT(Growing[[#This Row],[Date Terminated]], "YYYY-MM-dd"))</f>
        <v/>
      </c>
      <c r="G51" t="str">
        <f>IF(Growing[[#This Row],[Root Length (mm)]]="", "", IFERROR(VALUE(Growing[[#This Row],[Root Length (mm)]]), ""))</f>
        <v/>
      </c>
      <c r="H51" t="str">
        <f>IFERROR(VALUE(DATEVALUE(vLS_1[[#This Row],[Date Terminated]])-DATEVALUE(vLS_1[[#This Row],[Transplant Date]])), "")</f>
        <v/>
      </c>
      <c r="I51" t="str">
        <f>IFERROR(ROUND(vLS_1[[#This Row],[Final Root Length (mm)]]/vLS_1[[#This Row],[Days Between]], 2), "")</f>
        <v/>
      </c>
      <c r="J51">
        <f>IF(AND(ISNUMBER(vLS_1[[#This Row],[Final Root Length (mm)]]),ISNUMBER(vLS_1[[#This Row],[Days Between]]),vLS_1[[#This Row],[Days Between]]&gt;0,ISNUMBER(vLS_1[[#This Row],[Fertilizer Added (g)]])), 1, 0)</f>
        <v>0</v>
      </c>
    </row>
    <row r="52" spans="1:10">
      <c r="A52" t="str" cm="1">
        <f t="array" ref="A52">_xlfn.LET(
    _xlpm.value, INDEX(Growing[Seeding Jar], ROW()-ROW(Growing[#Headers])),
    IF(_xlpm.value="", "", _xlpm.value)
)</f>
        <v/>
      </c>
      <c r="B52" t="str">
        <f>IF(vLS_1[[#This Row],[Seeding Jar]]="", "", VALUE( _xlfn.XLOOKUP(SUBSTITUTE(vLS_1[[#This Row],[Seeding Jar]], "*", ""), Jars[Jar],#REF!)))</f>
        <v/>
      </c>
      <c r="C52" t="str">
        <f>TRIM(Growing[[#This Row],[Seed]])</f>
        <v/>
      </c>
      <c r="D52" t="str">
        <f>IF(Growing[[#This Row],[Date Seeded]]="", "", TEXT(Growing[[#This Row],[Date Seeded]], "YYYY-MM-dd"))</f>
        <v/>
      </c>
      <c r="E52" t="str">
        <f>IF(Growing[[#This Row],[Transplant Date]]="", "", TEXT(Growing[[#This Row],[Transplant Date]], "YYYY-MM-dd"))</f>
        <v/>
      </c>
      <c r="F52" t="str">
        <f>IF(Growing[[#This Row],[Date Terminated]]="", "", TEXT(Growing[[#This Row],[Date Terminated]], "YYYY-MM-dd"))</f>
        <v/>
      </c>
      <c r="G52" t="str">
        <f>IF(Growing[[#This Row],[Root Length (mm)]]="", "", IFERROR(VALUE(Growing[[#This Row],[Root Length (mm)]]), ""))</f>
        <v/>
      </c>
      <c r="H52" t="str">
        <f>IFERROR(VALUE(DATEVALUE(vLS_1[[#This Row],[Date Terminated]])-DATEVALUE(vLS_1[[#This Row],[Transplant Date]])), "")</f>
        <v/>
      </c>
      <c r="I52" t="str">
        <f>IFERROR(ROUND(vLS_1[[#This Row],[Final Root Length (mm)]]/vLS_1[[#This Row],[Days Between]], 2), "")</f>
        <v/>
      </c>
      <c r="J52">
        <f>IF(AND(ISNUMBER(vLS_1[[#This Row],[Final Root Length (mm)]]),ISNUMBER(vLS_1[[#This Row],[Days Between]]),vLS_1[[#This Row],[Days Between]]&gt;0,ISNUMBER(vLS_1[[#This Row],[Fertilizer Added (g)]])), 1, 0)</f>
        <v>0</v>
      </c>
    </row>
    <row r="53" spans="1:10">
      <c r="A53" t="str" cm="1">
        <f t="array" ref="A53">_xlfn.LET(
    _xlpm.value, INDEX(Growing[Seeding Jar], ROW()-ROW(Growing[#Headers])),
    IF(_xlpm.value="", "", _xlpm.value)
)</f>
        <v/>
      </c>
      <c r="B53" t="str">
        <f>IF(vLS_1[[#This Row],[Seeding Jar]]="", "", VALUE( _xlfn.XLOOKUP(SUBSTITUTE(vLS_1[[#This Row],[Seeding Jar]], "*", ""), Jars[Jar],#REF!)))</f>
        <v/>
      </c>
      <c r="C53" t="str">
        <f>TRIM(Growing[[#This Row],[Seed]])</f>
        <v/>
      </c>
      <c r="D53" t="str">
        <f>IF(Growing[[#This Row],[Date Seeded]]="", "", TEXT(Growing[[#This Row],[Date Seeded]], "YYYY-MM-dd"))</f>
        <v/>
      </c>
      <c r="E53" t="str">
        <f>IF(Growing[[#This Row],[Transplant Date]]="", "", TEXT(Growing[[#This Row],[Transplant Date]], "YYYY-MM-dd"))</f>
        <v/>
      </c>
      <c r="F53" t="str">
        <f>IF(Growing[[#This Row],[Date Terminated]]="", "", TEXT(Growing[[#This Row],[Date Terminated]], "YYYY-MM-dd"))</f>
        <v/>
      </c>
      <c r="G53" t="str">
        <f>IF(Growing[[#This Row],[Root Length (mm)]]="", "", IFERROR(VALUE(Growing[[#This Row],[Root Length (mm)]]), ""))</f>
        <v/>
      </c>
      <c r="H53" t="str">
        <f>IFERROR(VALUE(DATEVALUE(vLS_1[[#This Row],[Date Terminated]])-DATEVALUE(vLS_1[[#This Row],[Transplant Date]])), "")</f>
        <v/>
      </c>
      <c r="I53" t="str">
        <f>IFERROR(ROUND(vLS_1[[#This Row],[Final Root Length (mm)]]/vLS_1[[#This Row],[Days Between]], 2), "")</f>
        <v/>
      </c>
      <c r="J53">
        <f>IF(AND(ISNUMBER(vLS_1[[#This Row],[Final Root Length (mm)]]),ISNUMBER(vLS_1[[#This Row],[Days Between]]),vLS_1[[#This Row],[Days Between]]&gt;0,ISNUMBER(vLS_1[[#This Row],[Fertilizer Added (g)]])), 1, 0)</f>
        <v>0</v>
      </c>
    </row>
    <row r="54" spans="1:10">
      <c r="A54" t="str" cm="1">
        <f t="array" ref="A54">_xlfn.LET(
    _xlpm.value, INDEX(Growing[Seeding Jar], ROW()-ROW(Growing[#Headers])),
    IF(_xlpm.value="", "", _xlpm.value)
)</f>
        <v/>
      </c>
      <c r="B54" t="str">
        <f>IF(vLS_1[[#This Row],[Seeding Jar]]="", "", VALUE( _xlfn.XLOOKUP(SUBSTITUTE(vLS_1[[#This Row],[Seeding Jar]], "*", ""), Jars[Jar],#REF!)))</f>
        <v/>
      </c>
      <c r="C54" t="str">
        <f>TRIM(Growing[[#This Row],[Seed]])</f>
        <v/>
      </c>
      <c r="D54" t="str">
        <f>IF(Growing[[#This Row],[Date Seeded]]="", "", TEXT(Growing[[#This Row],[Date Seeded]], "YYYY-MM-dd"))</f>
        <v/>
      </c>
      <c r="E54" t="str">
        <f>IF(Growing[[#This Row],[Transplant Date]]="", "", TEXT(Growing[[#This Row],[Transplant Date]], "YYYY-MM-dd"))</f>
        <v/>
      </c>
      <c r="F54" t="str">
        <f>IF(Growing[[#This Row],[Date Terminated]]="", "", TEXT(Growing[[#This Row],[Date Terminated]], "YYYY-MM-dd"))</f>
        <v/>
      </c>
      <c r="G54" t="str">
        <f>IF(Growing[[#This Row],[Root Length (mm)]]="", "", IFERROR(VALUE(Growing[[#This Row],[Root Length (mm)]]), ""))</f>
        <v/>
      </c>
      <c r="H54" t="str">
        <f>IFERROR(VALUE(DATEVALUE(vLS_1[[#This Row],[Date Terminated]])-DATEVALUE(vLS_1[[#This Row],[Transplant Date]])), "")</f>
        <v/>
      </c>
      <c r="I54" t="str">
        <f>IFERROR(ROUND(vLS_1[[#This Row],[Final Root Length (mm)]]/vLS_1[[#This Row],[Days Between]], 2), "")</f>
        <v/>
      </c>
      <c r="J54">
        <f>IF(AND(ISNUMBER(vLS_1[[#This Row],[Final Root Length (mm)]]),ISNUMBER(vLS_1[[#This Row],[Days Between]]),vLS_1[[#This Row],[Days Between]]&gt;0,ISNUMBER(vLS_1[[#This Row],[Fertilizer Added (g)]])), 1, 0)</f>
        <v>0</v>
      </c>
    </row>
    <row r="55" spans="1:10">
      <c r="A55" t="str" cm="1">
        <f t="array" ref="A55">_xlfn.LET(
    _xlpm.value, INDEX(Growing[Seeding Jar], ROW()-ROW(Growing[#Headers])),
    IF(_xlpm.value="", "", _xlpm.value)
)</f>
        <v/>
      </c>
      <c r="B55" t="str">
        <f>IF(vLS_1[[#This Row],[Seeding Jar]]="", "", VALUE( _xlfn.XLOOKUP(SUBSTITUTE(vLS_1[[#This Row],[Seeding Jar]], "*", ""), Jars[Jar],#REF!)))</f>
        <v/>
      </c>
      <c r="C55" t="str">
        <f>TRIM(Growing[[#This Row],[Seed]])</f>
        <v/>
      </c>
      <c r="D55" t="str">
        <f>IF(Growing[[#This Row],[Date Seeded]]="", "", TEXT(Growing[[#This Row],[Date Seeded]], "YYYY-MM-dd"))</f>
        <v/>
      </c>
      <c r="E55" t="str">
        <f>IF(Growing[[#This Row],[Transplant Date]]="", "", TEXT(Growing[[#This Row],[Transplant Date]], "YYYY-MM-dd"))</f>
        <v/>
      </c>
      <c r="F55" t="str">
        <f>IF(Growing[[#This Row],[Date Terminated]]="", "", TEXT(Growing[[#This Row],[Date Terminated]], "YYYY-MM-dd"))</f>
        <v/>
      </c>
      <c r="G55" t="str">
        <f>IF(Growing[[#This Row],[Root Length (mm)]]="", "", IFERROR(VALUE(Growing[[#This Row],[Root Length (mm)]]), ""))</f>
        <v/>
      </c>
      <c r="H55" t="str">
        <f>IFERROR(VALUE(DATEVALUE(vLS_1[[#This Row],[Date Terminated]])-DATEVALUE(vLS_1[[#This Row],[Transplant Date]])), "")</f>
        <v/>
      </c>
      <c r="I55" t="str">
        <f>IFERROR(ROUND(vLS_1[[#This Row],[Final Root Length (mm)]]/vLS_1[[#This Row],[Days Between]], 2), "")</f>
        <v/>
      </c>
      <c r="J55">
        <f>IF(AND(ISNUMBER(vLS_1[[#This Row],[Final Root Length (mm)]]),ISNUMBER(vLS_1[[#This Row],[Days Between]]),vLS_1[[#This Row],[Days Between]]&gt;0,ISNUMBER(vLS_1[[#This Row],[Fertilizer Added (g)]])), 1, 0)</f>
        <v>0</v>
      </c>
    </row>
    <row r="56" spans="1:10">
      <c r="A56" t="str" cm="1">
        <f t="array" ref="A56">_xlfn.LET(
    _xlpm.value, INDEX(Growing[Seeding Jar], ROW()-ROW(Growing[#Headers])),
    IF(_xlpm.value="", "", _xlpm.value)
)</f>
        <v/>
      </c>
      <c r="B56" t="str">
        <f>IF(vLS_1[[#This Row],[Seeding Jar]]="", "", VALUE( _xlfn.XLOOKUP(SUBSTITUTE(vLS_1[[#This Row],[Seeding Jar]], "*", ""), Jars[Jar],#REF!)))</f>
        <v/>
      </c>
      <c r="C56" t="str">
        <f>TRIM(Growing[[#This Row],[Seed]])</f>
        <v/>
      </c>
      <c r="D56" t="str">
        <f>IF(Growing[[#This Row],[Date Seeded]]="", "", TEXT(Growing[[#This Row],[Date Seeded]], "YYYY-MM-dd"))</f>
        <v/>
      </c>
      <c r="E56" t="str">
        <f>IF(Growing[[#This Row],[Transplant Date]]="", "", TEXT(Growing[[#This Row],[Transplant Date]], "YYYY-MM-dd"))</f>
        <v/>
      </c>
      <c r="F56" t="str">
        <f>IF(Growing[[#This Row],[Date Terminated]]="", "", TEXT(Growing[[#This Row],[Date Terminated]], "YYYY-MM-dd"))</f>
        <v/>
      </c>
      <c r="G56" t="str">
        <f>IF(Growing[[#This Row],[Root Length (mm)]]="", "", IFERROR(VALUE(Growing[[#This Row],[Root Length (mm)]]), ""))</f>
        <v/>
      </c>
      <c r="H56" t="str">
        <f>IFERROR(VALUE(DATEVALUE(vLS_1[[#This Row],[Date Terminated]])-DATEVALUE(vLS_1[[#This Row],[Transplant Date]])), "")</f>
        <v/>
      </c>
      <c r="I56" t="str">
        <f>IFERROR(ROUND(vLS_1[[#This Row],[Final Root Length (mm)]]/vLS_1[[#This Row],[Days Between]], 2), "")</f>
        <v/>
      </c>
      <c r="J56">
        <f>IF(AND(ISNUMBER(vLS_1[[#This Row],[Final Root Length (mm)]]),ISNUMBER(vLS_1[[#This Row],[Days Between]]),vLS_1[[#This Row],[Days Between]]&gt;0,ISNUMBER(vLS_1[[#This Row],[Fertilizer Added (g)]])), 1, 0)</f>
        <v>0</v>
      </c>
    </row>
    <row r="57" spans="1:10">
      <c r="A57" t="str" cm="1">
        <f t="array" ref="A57">_xlfn.LET(
    _xlpm.value, INDEX(Growing[Seeding Jar], ROW()-ROW(Growing[#Headers])),
    IF(_xlpm.value="", "", _xlpm.value)
)</f>
        <v/>
      </c>
      <c r="B57" t="str">
        <f>IF(vLS_1[[#This Row],[Seeding Jar]]="", "", VALUE( _xlfn.XLOOKUP(SUBSTITUTE(vLS_1[[#This Row],[Seeding Jar]], "*", ""), Jars[Jar],#REF!)))</f>
        <v/>
      </c>
      <c r="C57" t="str">
        <f>TRIM(Growing[[#This Row],[Seed]])</f>
        <v/>
      </c>
      <c r="D57" t="str">
        <f>IF(Growing[[#This Row],[Date Seeded]]="", "", TEXT(Growing[[#This Row],[Date Seeded]], "YYYY-MM-dd"))</f>
        <v/>
      </c>
      <c r="E57" t="str">
        <f>IF(Growing[[#This Row],[Transplant Date]]="", "", TEXT(Growing[[#This Row],[Transplant Date]], "YYYY-MM-dd"))</f>
        <v/>
      </c>
      <c r="F57" t="str">
        <f>IF(Growing[[#This Row],[Date Terminated]]="", "", TEXT(Growing[[#This Row],[Date Terminated]], "YYYY-MM-dd"))</f>
        <v/>
      </c>
      <c r="G57" t="str">
        <f>IF(Growing[[#This Row],[Root Length (mm)]]="", "", IFERROR(VALUE(Growing[[#This Row],[Root Length (mm)]]), ""))</f>
        <v/>
      </c>
      <c r="H57" t="str">
        <f>IFERROR(VALUE(DATEVALUE(vLS_1[[#This Row],[Date Terminated]])-DATEVALUE(vLS_1[[#This Row],[Transplant Date]])), "")</f>
        <v/>
      </c>
      <c r="I57" t="str">
        <f>IFERROR(ROUND(vLS_1[[#This Row],[Final Root Length (mm)]]/vLS_1[[#This Row],[Days Between]], 2), "")</f>
        <v/>
      </c>
      <c r="J57">
        <f>IF(AND(ISNUMBER(vLS_1[[#This Row],[Final Root Length (mm)]]),ISNUMBER(vLS_1[[#This Row],[Days Between]]),vLS_1[[#This Row],[Days Between]]&gt;0,ISNUMBER(vLS_1[[#This Row],[Fertilizer Added (g)]])), 1, 0)</f>
        <v>0</v>
      </c>
    </row>
    <row r="58" spans="1:10">
      <c r="A58" t="str" cm="1">
        <f t="array" ref="A58">_xlfn.LET(
    _xlpm.value, INDEX(Growing[Seeding Jar], ROW()-ROW(Growing[#Headers])),
    IF(_xlpm.value="", "", _xlpm.value)
)</f>
        <v/>
      </c>
      <c r="B58" t="str">
        <f>IF(vLS_1[[#This Row],[Seeding Jar]]="", "", VALUE( _xlfn.XLOOKUP(SUBSTITUTE(vLS_1[[#This Row],[Seeding Jar]], "*", ""), Jars[Jar],#REF!)))</f>
        <v/>
      </c>
      <c r="C58" t="str">
        <f>TRIM(Growing[[#This Row],[Seed]])</f>
        <v/>
      </c>
      <c r="D58" t="str">
        <f>IF(Growing[[#This Row],[Date Seeded]]="", "", TEXT(Growing[[#This Row],[Date Seeded]], "YYYY-MM-dd"))</f>
        <v/>
      </c>
      <c r="E58" t="str">
        <f>IF(Growing[[#This Row],[Transplant Date]]="", "", TEXT(Growing[[#This Row],[Transplant Date]], "YYYY-MM-dd"))</f>
        <v/>
      </c>
      <c r="F58" t="str">
        <f>IF(Growing[[#This Row],[Date Terminated]]="", "", TEXT(Growing[[#This Row],[Date Terminated]], "YYYY-MM-dd"))</f>
        <v/>
      </c>
      <c r="G58" t="str">
        <f>IF(Growing[[#This Row],[Root Length (mm)]]="", "", IFERROR(VALUE(Growing[[#This Row],[Root Length (mm)]]), ""))</f>
        <v/>
      </c>
      <c r="H58" t="str">
        <f>IFERROR(VALUE(DATEVALUE(vLS_1[[#This Row],[Date Terminated]])-DATEVALUE(vLS_1[[#This Row],[Transplant Date]])), "")</f>
        <v/>
      </c>
      <c r="I58" t="str">
        <f>IFERROR(ROUND(vLS_1[[#This Row],[Final Root Length (mm)]]/vLS_1[[#This Row],[Days Between]], 2), "")</f>
        <v/>
      </c>
      <c r="J58">
        <f>IF(AND(ISNUMBER(vLS_1[[#This Row],[Final Root Length (mm)]]),ISNUMBER(vLS_1[[#This Row],[Days Between]]),vLS_1[[#This Row],[Days Between]]&gt;0,ISNUMBER(vLS_1[[#This Row],[Fertilizer Added (g)]])), 1, 0)</f>
        <v>0</v>
      </c>
    </row>
    <row r="59" spans="1:10">
      <c r="A59" t="str" cm="1">
        <f t="array" ref="A59">_xlfn.LET(
    _xlpm.value, INDEX(Growing[Seeding Jar], ROW()-ROW(Growing[#Headers])),
    IF(_xlpm.value="", "", _xlpm.value)
)</f>
        <v/>
      </c>
      <c r="B59" t="str">
        <f>IF(vLS_1[[#This Row],[Seeding Jar]]="", "", VALUE( _xlfn.XLOOKUP(SUBSTITUTE(vLS_1[[#This Row],[Seeding Jar]], "*", ""), Jars[Jar],#REF!)))</f>
        <v/>
      </c>
      <c r="C59" t="str">
        <f>TRIM(Growing[[#This Row],[Seed]])</f>
        <v/>
      </c>
      <c r="D59" t="str">
        <f>IF(Growing[[#This Row],[Date Seeded]]="", "", TEXT(Growing[[#This Row],[Date Seeded]], "YYYY-MM-dd"))</f>
        <v/>
      </c>
      <c r="E59" t="str">
        <f>IF(Growing[[#This Row],[Transplant Date]]="", "", TEXT(Growing[[#This Row],[Transplant Date]], "YYYY-MM-dd"))</f>
        <v/>
      </c>
      <c r="F59" t="str">
        <f>IF(Growing[[#This Row],[Date Terminated]]="", "", TEXT(Growing[[#This Row],[Date Terminated]], "YYYY-MM-dd"))</f>
        <v/>
      </c>
      <c r="G59" t="str">
        <f>IF(Growing[[#This Row],[Root Length (mm)]]="", "", IFERROR(VALUE(Growing[[#This Row],[Root Length (mm)]]), ""))</f>
        <v/>
      </c>
      <c r="H59" t="str">
        <f>IFERROR(VALUE(DATEVALUE(vLS_1[[#This Row],[Date Terminated]])-DATEVALUE(vLS_1[[#This Row],[Transplant Date]])), "")</f>
        <v/>
      </c>
      <c r="I59" t="str">
        <f>IFERROR(ROUND(vLS_1[[#This Row],[Final Root Length (mm)]]/vLS_1[[#This Row],[Days Between]], 2), "")</f>
        <v/>
      </c>
      <c r="J59">
        <f>IF(AND(ISNUMBER(vLS_1[[#This Row],[Final Root Length (mm)]]),ISNUMBER(vLS_1[[#This Row],[Days Between]]),vLS_1[[#This Row],[Days Between]]&gt;0,ISNUMBER(vLS_1[[#This Row],[Fertilizer Added (g)]])), 1, 0)</f>
        <v>0</v>
      </c>
    </row>
    <row r="60" spans="1:10">
      <c r="A60" t="str" cm="1">
        <f t="array" ref="A60">_xlfn.LET(
    _xlpm.value, INDEX(Growing[Seeding Jar], ROW()-ROW(Growing[#Headers])),
    IF(_xlpm.value="", "", _xlpm.value)
)</f>
        <v/>
      </c>
      <c r="B60" t="str">
        <f>IF(vLS_1[[#This Row],[Seeding Jar]]="", "", VALUE( _xlfn.XLOOKUP(SUBSTITUTE(vLS_1[[#This Row],[Seeding Jar]], "*", ""), Jars[Jar],#REF!)))</f>
        <v/>
      </c>
      <c r="C60" t="str">
        <f>TRIM(Growing[[#This Row],[Seed]])</f>
        <v/>
      </c>
      <c r="D60" t="str">
        <f>IF(Growing[[#This Row],[Date Seeded]]="", "", TEXT(Growing[[#This Row],[Date Seeded]], "YYYY-MM-dd"))</f>
        <v/>
      </c>
      <c r="E60" t="str">
        <f>IF(Growing[[#This Row],[Transplant Date]]="", "", TEXT(Growing[[#This Row],[Transplant Date]], "YYYY-MM-dd"))</f>
        <v/>
      </c>
      <c r="F60" t="str">
        <f>IF(Growing[[#This Row],[Date Terminated]]="", "", TEXT(Growing[[#This Row],[Date Terminated]], "YYYY-MM-dd"))</f>
        <v/>
      </c>
      <c r="G60" t="str">
        <f>IF(Growing[[#This Row],[Root Length (mm)]]="", "", IFERROR(VALUE(Growing[[#This Row],[Root Length (mm)]]), ""))</f>
        <v/>
      </c>
      <c r="H60" t="str">
        <f>IFERROR(VALUE(DATEVALUE(vLS_1[[#This Row],[Date Terminated]])-DATEVALUE(vLS_1[[#This Row],[Transplant Date]])), "")</f>
        <v/>
      </c>
      <c r="I60" t="str">
        <f>IFERROR(ROUND(vLS_1[[#This Row],[Final Root Length (mm)]]/vLS_1[[#This Row],[Days Between]], 2), "")</f>
        <v/>
      </c>
      <c r="J60">
        <f>IF(AND(ISNUMBER(vLS_1[[#This Row],[Final Root Length (mm)]]),ISNUMBER(vLS_1[[#This Row],[Days Between]]),vLS_1[[#This Row],[Days Between]]&gt;0,ISNUMBER(vLS_1[[#This Row],[Fertilizer Added (g)]])), 1, 0)</f>
        <v>0</v>
      </c>
    </row>
    <row r="61" spans="1:10">
      <c r="A61" t="str" cm="1">
        <f t="array" ref="A61">_xlfn.LET(
    _xlpm.value, INDEX(Growing[Seeding Jar], ROW()-ROW(Growing[#Headers])),
    IF(_xlpm.value="", "", _xlpm.value)
)</f>
        <v/>
      </c>
      <c r="B61" t="str">
        <f>IF(vLS_1[[#This Row],[Seeding Jar]]="", "", VALUE( _xlfn.XLOOKUP(SUBSTITUTE(vLS_1[[#This Row],[Seeding Jar]], "*", ""), Jars[Jar],#REF!)))</f>
        <v/>
      </c>
      <c r="C61" t="str">
        <f>TRIM(Growing[[#This Row],[Seed]])</f>
        <v/>
      </c>
      <c r="D61" t="str">
        <f>IF(Growing[[#This Row],[Date Seeded]]="", "", TEXT(Growing[[#This Row],[Date Seeded]], "YYYY-MM-dd"))</f>
        <v/>
      </c>
      <c r="E61" t="str">
        <f>IF(Growing[[#This Row],[Transplant Date]]="", "", TEXT(Growing[[#This Row],[Transplant Date]], "YYYY-MM-dd"))</f>
        <v/>
      </c>
      <c r="F61" t="str">
        <f>IF(Growing[[#This Row],[Date Terminated]]="", "", TEXT(Growing[[#This Row],[Date Terminated]], "YYYY-MM-dd"))</f>
        <v/>
      </c>
      <c r="G61" t="str">
        <f>IF(Growing[[#This Row],[Root Length (mm)]]="", "", IFERROR(VALUE(Growing[[#This Row],[Root Length (mm)]]), ""))</f>
        <v/>
      </c>
      <c r="H61" t="str">
        <f>IFERROR(VALUE(DATEVALUE(vLS_1[[#This Row],[Date Terminated]])-DATEVALUE(vLS_1[[#This Row],[Transplant Date]])), "")</f>
        <v/>
      </c>
      <c r="I61" t="str">
        <f>IFERROR(ROUND(vLS_1[[#This Row],[Final Root Length (mm)]]/vLS_1[[#This Row],[Days Between]], 2), "")</f>
        <v/>
      </c>
      <c r="J61">
        <f>IF(AND(ISNUMBER(vLS_1[[#This Row],[Final Root Length (mm)]]),ISNUMBER(vLS_1[[#This Row],[Days Between]]),vLS_1[[#This Row],[Days Between]]&gt;0,ISNUMBER(vLS_1[[#This Row],[Fertilizer Added (g)]])), 1, 0)</f>
        <v>0</v>
      </c>
    </row>
    <row r="62" spans="1:10">
      <c r="A62" t="str" cm="1">
        <f t="array" ref="A62">_xlfn.LET(
    _xlpm.value, INDEX(Growing[Seeding Jar], ROW()-ROW(Growing[#Headers])),
    IF(_xlpm.value="", "", _xlpm.value)
)</f>
        <v/>
      </c>
      <c r="B62" t="str">
        <f>IF(vLS_1[[#This Row],[Seeding Jar]]="", "", VALUE( _xlfn.XLOOKUP(SUBSTITUTE(vLS_1[[#This Row],[Seeding Jar]], "*", ""), Jars[Jar],#REF!)))</f>
        <v/>
      </c>
      <c r="C62" t="str">
        <f>TRIM(Growing[[#This Row],[Seed]])</f>
        <v/>
      </c>
      <c r="D62" t="str">
        <f>IF(Growing[[#This Row],[Date Seeded]]="", "", TEXT(Growing[[#This Row],[Date Seeded]], "YYYY-MM-dd"))</f>
        <v/>
      </c>
      <c r="E62" t="str">
        <f>IF(Growing[[#This Row],[Transplant Date]]="", "", TEXT(Growing[[#This Row],[Transplant Date]], "YYYY-MM-dd"))</f>
        <v/>
      </c>
      <c r="F62" t="str">
        <f>IF(Growing[[#This Row],[Date Terminated]]="", "", TEXT(Growing[[#This Row],[Date Terminated]], "YYYY-MM-dd"))</f>
        <v/>
      </c>
      <c r="G62" t="str">
        <f>IF(Growing[[#This Row],[Root Length (mm)]]="", "", IFERROR(VALUE(Growing[[#This Row],[Root Length (mm)]]), ""))</f>
        <v/>
      </c>
      <c r="H62" t="str">
        <f>IFERROR(VALUE(DATEVALUE(vLS_1[[#This Row],[Date Terminated]])-DATEVALUE(vLS_1[[#This Row],[Transplant Date]])), "")</f>
        <v/>
      </c>
      <c r="I62" t="str">
        <f>IFERROR(ROUND(vLS_1[[#This Row],[Final Root Length (mm)]]/vLS_1[[#This Row],[Days Between]], 2), "")</f>
        <v/>
      </c>
      <c r="J62">
        <f>IF(AND(ISNUMBER(vLS_1[[#This Row],[Final Root Length (mm)]]),ISNUMBER(vLS_1[[#This Row],[Days Between]]),vLS_1[[#This Row],[Days Between]]&gt;0,ISNUMBER(vLS_1[[#This Row],[Fertilizer Added (g)]])), 1, 0)</f>
        <v>0</v>
      </c>
    </row>
    <row r="63" spans="1:10">
      <c r="A63" t="str" cm="1">
        <f t="array" ref="A63">_xlfn.LET(
    _xlpm.value, INDEX(Growing[Seeding Jar], ROW()-ROW(Growing[#Headers])),
    IF(_xlpm.value="", "", _xlpm.value)
)</f>
        <v/>
      </c>
      <c r="B63" t="str">
        <f>IF(vLS_1[[#This Row],[Seeding Jar]]="", "", VALUE( _xlfn.XLOOKUP(SUBSTITUTE(vLS_1[[#This Row],[Seeding Jar]], "*", ""), Jars[Jar],#REF!)))</f>
        <v/>
      </c>
      <c r="C63" t="str">
        <f>TRIM(Growing[[#This Row],[Seed]])</f>
        <v/>
      </c>
      <c r="D63" t="str">
        <f>IF(Growing[[#This Row],[Date Seeded]]="", "", TEXT(Growing[[#This Row],[Date Seeded]], "YYYY-MM-dd"))</f>
        <v/>
      </c>
      <c r="E63" t="str">
        <f>IF(Growing[[#This Row],[Transplant Date]]="", "", TEXT(Growing[[#This Row],[Transplant Date]], "YYYY-MM-dd"))</f>
        <v/>
      </c>
      <c r="F63" t="str">
        <f>IF(Growing[[#This Row],[Date Terminated]]="", "", TEXT(Growing[[#This Row],[Date Terminated]], "YYYY-MM-dd"))</f>
        <v/>
      </c>
      <c r="G63" t="str">
        <f>IF(Growing[[#This Row],[Root Length (mm)]]="", "", IFERROR(VALUE(Growing[[#This Row],[Root Length (mm)]]), ""))</f>
        <v/>
      </c>
      <c r="H63" t="str">
        <f>IFERROR(VALUE(DATEVALUE(vLS_1[[#This Row],[Date Terminated]])-DATEVALUE(vLS_1[[#This Row],[Transplant Date]])), "")</f>
        <v/>
      </c>
      <c r="I63" t="str">
        <f>IFERROR(ROUND(vLS_1[[#This Row],[Final Root Length (mm)]]/vLS_1[[#This Row],[Days Between]], 2), "")</f>
        <v/>
      </c>
      <c r="J63">
        <f>IF(AND(ISNUMBER(vLS_1[[#This Row],[Final Root Length (mm)]]),ISNUMBER(vLS_1[[#This Row],[Days Between]]),vLS_1[[#This Row],[Days Between]]&gt;0,ISNUMBER(vLS_1[[#This Row],[Fertilizer Added (g)]])), 1, 0)</f>
        <v>0</v>
      </c>
    </row>
    <row r="64" spans="1:10">
      <c r="A64" t="str" cm="1">
        <f t="array" ref="A64">_xlfn.LET(
    _xlpm.value, INDEX(Growing[Seeding Jar], ROW()-ROW(Growing[#Headers])),
    IF(_xlpm.value="", "", _xlpm.value)
)</f>
        <v/>
      </c>
      <c r="B64" t="str">
        <f>IF(vLS_1[[#This Row],[Seeding Jar]]="", "", VALUE( _xlfn.XLOOKUP(SUBSTITUTE(vLS_1[[#This Row],[Seeding Jar]], "*", ""), Jars[Jar],#REF!)))</f>
        <v/>
      </c>
      <c r="C64" t="str">
        <f>TRIM(Growing[[#This Row],[Seed]])</f>
        <v/>
      </c>
      <c r="D64" t="str">
        <f>IF(Growing[[#This Row],[Date Seeded]]="", "", TEXT(Growing[[#This Row],[Date Seeded]], "YYYY-MM-dd"))</f>
        <v/>
      </c>
      <c r="E64" t="str">
        <f>IF(Growing[[#This Row],[Transplant Date]]="", "", TEXT(Growing[[#This Row],[Transplant Date]], "YYYY-MM-dd"))</f>
        <v/>
      </c>
      <c r="F64" t="str">
        <f>IF(Growing[[#This Row],[Date Terminated]]="", "", TEXT(Growing[[#This Row],[Date Terminated]], "YYYY-MM-dd"))</f>
        <v/>
      </c>
      <c r="G64" t="str">
        <f>IF(Growing[[#This Row],[Root Length (mm)]]="", "", IFERROR(VALUE(Growing[[#This Row],[Root Length (mm)]]), ""))</f>
        <v/>
      </c>
      <c r="H64" t="str">
        <f>IFERROR(VALUE(DATEVALUE(vLS_1[[#This Row],[Date Terminated]])-DATEVALUE(vLS_1[[#This Row],[Transplant Date]])), "")</f>
        <v/>
      </c>
      <c r="I64" t="str">
        <f>IFERROR(ROUND(vLS_1[[#This Row],[Final Root Length (mm)]]/vLS_1[[#This Row],[Days Between]], 2), "")</f>
        <v/>
      </c>
      <c r="J64">
        <f>IF(AND(ISNUMBER(vLS_1[[#This Row],[Final Root Length (mm)]]),ISNUMBER(vLS_1[[#This Row],[Days Between]]),vLS_1[[#This Row],[Days Between]]&gt;0,ISNUMBER(vLS_1[[#This Row],[Fertilizer Added (g)]])), 1, 0)</f>
        <v>0</v>
      </c>
    </row>
    <row r="65" spans="1:10">
      <c r="A65" t="str" cm="1">
        <f t="array" ref="A65">_xlfn.LET(
    _xlpm.value, INDEX(Growing[Seeding Jar], ROW()-ROW(Growing[#Headers])),
    IF(_xlpm.value="", "", _xlpm.value)
)</f>
        <v/>
      </c>
      <c r="B65" t="str">
        <f>IF(vLS_1[[#This Row],[Seeding Jar]]="", "", VALUE( _xlfn.XLOOKUP(SUBSTITUTE(vLS_1[[#This Row],[Seeding Jar]], "*", ""), Jars[Jar],#REF!)))</f>
        <v/>
      </c>
      <c r="C65" t="str">
        <f>TRIM(Growing[[#This Row],[Seed]])</f>
        <v/>
      </c>
      <c r="D65" t="str">
        <f>IF(Growing[[#This Row],[Date Seeded]]="", "", TEXT(Growing[[#This Row],[Date Seeded]], "YYYY-MM-dd"))</f>
        <v/>
      </c>
      <c r="E65" t="str">
        <f>IF(Growing[[#This Row],[Transplant Date]]="", "", TEXT(Growing[[#This Row],[Transplant Date]], "YYYY-MM-dd"))</f>
        <v/>
      </c>
      <c r="F65" t="str">
        <f>IF(Growing[[#This Row],[Date Terminated]]="", "", TEXT(Growing[[#This Row],[Date Terminated]], "YYYY-MM-dd"))</f>
        <v/>
      </c>
      <c r="G65" t="str">
        <f>IF(Growing[[#This Row],[Root Length (mm)]]="", "", IFERROR(VALUE(Growing[[#This Row],[Root Length (mm)]]), ""))</f>
        <v/>
      </c>
      <c r="H65" t="str">
        <f>IFERROR(VALUE(DATEVALUE(vLS_1[[#This Row],[Date Terminated]])-DATEVALUE(vLS_1[[#This Row],[Transplant Date]])), "")</f>
        <v/>
      </c>
      <c r="I65" t="str">
        <f>IFERROR(ROUND(vLS_1[[#This Row],[Final Root Length (mm)]]/vLS_1[[#This Row],[Days Between]], 2), "")</f>
        <v/>
      </c>
      <c r="J65">
        <f>IF(AND(ISNUMBER(vLS_1[[#This Row],[Final Root Length (mm)]]),ISNUMBER(vLS_1[[#This Row],[Days Between]]),vLS_1[[#This Row],[Days Between]]&gt;0,ISNUMBER(vLS_1[[#This Row],[Fertilizer Added (g)]])), 1, 0)</f>
        <v>0</v>
      </c>
    </row>
    <row r="66" spans="1:10">
      <c r="A66" t="str" cm="1">
        <f t="array" ref="A66">_xlfn.LET(
    _xlpm.value, INDEX(Growing[Seeding Jar], ROW()-ROW(Growing[#Headers])),
    IF(_xlpm.value="", "", _xlpm.value)
)</f>
        <v/>
      </c>
      <c r="B66" t="str">
        <f>IF(vLS_1[[#This Row],[Seeding Jar]]="", "", VALUE( _xlfn.XLOOKUP(SUBSTITUTE(vLS_1[[#This Row],[Seeding Jar]], "*", ""), Jars[Jar],#REF!)))</f>
        <v/>
      </c>
      <c r="C66" t="str">
        <f>TRIM(Growing[[#This Row],[Seed]])</f>
        <v/>
      </c>
      <c r="D66" t="str">
        <f>IF(Growing[[#This Row],[Date Seeded]]="", "", TEXT(Growing[[#This Row],[Date Seeded]], "YYYY-MM-dd"))</f>
        <v/>
      </c>
      <c r="E66" t="str">
        <f>IF(Growing[[#This Row],[Transplant Date]]="", "", TEXT(Growing[[#This Row],[Transplant Date]], "YYYY-MM-dd"))</f>
        <v/>
      </c>
      <c r="F66" t="str">
        <f>IF(Growing[[#This Row],[Date Terminated]]="", "", TEXT(Growing[[#This Row],[Date Terminated]], "YYYY-MM-dd"))</f>
        <v/>
      </c>
      <c r="G66" t="str">
        <f>IF(Growing[[#This Row],[Root Length (mm)]]="", "", IFERROR(VALUE(Growing[[#This Row],[Root Length (mm)]]), ""))</f>
        <v/>
      </c>
      <c r="H66" t="str">
        <f>IFERROR(VALUE(DATEVALUE(vLS_1[[#This Row],[Date Terminated]])-DATEVALUE(vLS_1[[#This Row],[Transplant Date]])), "")</f>
        <v/>
      </c>
      <c r="I66" t="str">
        <f>IFERROR(ROUND(vLS_1[[#This Row],[Final Root Length (mm)]]/vLS_1[[#This Row],[Days Between]], 2), "")</f>
        <v/>
      </c>
      <c r="J66">
        <f>IF(AND(ISNUMBER(vLS_1[[#This Row],[Final Root Length (mm)]]),ISNUMBER(vLS_1[[#This Row],[Days Between]]),vLS_1[[#This Row],[Days Between]]&gt;0,ISNUMBER(vLS_1[[#This Row],[Fertilizer Added (g)]])), 1, 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1D3CC-68C2-469F-A174-9B5F5EC39C26}">
  <dimension ref="A1"/>
  <sheetViews>
    <sheetView workbookViewId="0">
      <selection activeCell="P15" sqref="P1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2026-04-21T01:47:25Z</dcterms:created>
  <dcterms:modified xsi:type="dcterms:W3CDTF">2026-10-11T12:52:38Z</dcterms:modified>
  <cp:category/>
  <cp:contentStatus/>
</cp:coreProperties>
</file>